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df7234480f3c96/Dinero/"/>
    </mc:Choice>
  </mc:AlternateContent>
  <xr:revisionPtr revIDLastSave="6" documentId="8_{EC1BF22D-96AC-4E82-A2B6-42934368C79E}" xr6:coauthVersionLast="47" xr6:coauthVersionMax="47" xr10:uidLastSave="{29B42373-44DB-42E7-9DC3-8093ADE09814}"/>
  <bookViews>
    <workbookView xWindow="-120" yWindow="-120" windowWidth="29040" windowHeight="15720" xr2:uid="{2F3B0920-4F2A-4556-82C4-1C56459A5FB5}"/>
  </bookViews>
  <sheets>
    <sheet name="S&amp;P100" sheetId="5" r:id="rId1"/>
  </sheets>
  <definedNames>
    <definedName name="_xlnm._FilterDatabase" localSheetId="0" hidden="1">'S&amp;P100'!$A$3:$P$104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1" i="5" l="1"/>
  <c r="N81" i="5"/>
  <c r="M81" i="5"/>
  <c r="L81" i="5"/>
  <c r="K81" i="5"/>
  <c r="J81" i="5"/>
  <c r="I81" i="5"/>
  <c r="H81" i="5"/>
  <c r="G81" i="5"/>
  <c r="F81" i="5"/>
  <c r="E81" i="5"/>
  <c r="O47" i="5"/>
  <c r="N47" i="5"/>
  <c r="M47" i="5"/>
  <c r="L47" i="5"/>
  <c r="K47" i="5"/>
  <c r="J47" i="5"/>
  <c r="I47" i="5"/>
  <c r="H47" i="5"/>
  <c r="G47" i="5"/>
  <c r="F47" i="5"/>
  <c r="E47" i="5"/>
  <c r="O95" i="5"/>
  <c r="N95" i="5"/>
  <c r="M95" i="5"/>
  <c r="L95" i="5"/>
  <c r="K95" i="5"/>
  <c r="J95" i="5"/>
  <c r="I95" i="5"/>
  <c r="H95" i="5"/>
  <c r="G95" i="5"/>
  <c r="F95" i="5"/>
  <c r="E95" i="5"/>
  <c r="O70" i="5"/>
  <c r="N70" i="5"/>
  <c r="M70" i="5"/>
  <c r="L70" i="5"/>
  <c r="K70" i="5"/>
  <c r="J70" i="5"/>
  <c r="I70" i="5"/>
  <c r="H70" i="5"/>
  <c r="G70" i="5"/>
  <c r="F70" i="5"/>
  <c r="E70" i="5"/>
  <c r="O50" i="5"/>
  <c r="N50" i="5"/>
  <c r="M50" i="5"/>
  <c r="L50" i="5"/>
  <c r="K50" i="5"/>
  <c r="J50" i="5"/>
  <c r="I50" i="5"/>
  <c r="H50" i="5"/>
  <c r="G50" i="5"/>
  <c r="F50" i="5"/>
  <c r="E50" i="5"/>
  <c r="O73" i="5"/>
  <c r="N73" i="5"/>
  <c r="M73" i="5"/>
  <c r="L73" i="5"/>
  <c r="K73" i="5"/>
  <c r="J73" i="5"/>
  <c r="I73" i="5"/>
  <c r="H73" i="5"/>
  <c r="G73" i="5"/>
  <c r="F73" i="5"/>
  <c r="E73" i="5"/>
  <c r="O15" i="5"/>
  <c r="N15" i="5"/>
  <c r="M15" i="5"/>
  <c r="L15" i="5"/>
  <c r="K15" i="5"/>
  <c r="J15" i="5"/>
  <c r="I15" i="5"/>
  <c r="H15" i="5"/>
  <c r="G15" i="5"/>
  <c r="F15" i="5"/>
  <c r="E15" i="5"/>
  <c r="O77" i="5"/>
  <c r="N77" i="5"/>
  <c r="M77" i="5"/>
  <c r="L77" i="5"/>
  <c r="K77" i="5"/>
  <c r="J77" i="5"/>
  <c r="I77" i="5"/>
  <c r="H77" i="5"/>
  <c r="G77" i="5"/>
  <c r="F77" i="5"/>
  <c r="E77" i="5"/>
  <c r="O55" i="5"/>
  <c r="N55" i="5"/>
  <c r="M55" i="5"/>
  <c r="L55" i="5"/>
  <c r="K55" i="5"/>
  <c r="J55" i="5"/>
  <c r="I55" i="5"/>
  <c r="H55" i="5"/>
  <c r="G55" i="5"/>
  <c r="F55" i="5"/>
  <c r="E55" i="5"/>
  <c r="O24" i="5"/>
  <c r="N24" i="5"/>
  <c r="M24" i="5"/>
  <c r="L24" i="5"/>
  <c r="K24" i="5"/>
  <c r="J24" i="5"/>
  <c r="I24" i="5"/>
  <c r="H24" i="5"/>
  <c r="G24" i="5"/>
  <c r="F24" i="5"/>
  <c r="E24" i="5"/>
  <c r="O10" i="5"/>
  <c r="N10" i="5"/>
  <c r="M10" i="5"/>
  <c r="L10" i="5"/>
  <c r="K10" i="5"/>
  <c r="J10" i="5"/>
  <c r="I10" i="5"/>
  <c r="H10" i="5"/>
  <c r="G10" i="5"/>
  <c r="F10" i="5"/>
  <c r="E10" i="5"/>
  <c r="O94" i="5"/>
  <c r="N94" i="5"/>
  <c r="M94" i="5"/>
  <c r="L94" i="5"/>
  <c r="K94" i="5"/>
  <c r="J94" i="5"/>
  <c r="I94" i="5"/>
  <c r="H94" i="5"/>
  <c r="G94" i="5"/>
  <c r="F94" i="5"/>
  <c r="E94" i="5"/>
  <c r="O51" i="5"/>
  <c r="N51" i="5"/>
  <c r="M51" i="5"/>
  <c r="L51" i="5"/>
  <c r="K51" i="5"/>
  <c r="J51" i="5"/>
  <c r="I51" i="5"/>
  <c r="H51" i="5"/>
  <c r="G51" i="5"/>
  <c r="F51" i="5"/>
  <c r="E51" i="5"/>
  <c r="O91" i="5"/>
  <c r="N91" i="5"/>
  <c r="M91" i="5"/>
  <c r="L91" i="5"/>
  <c r="K91" i="5"/>
  <c r="J91" i="5"/>
  <c r="I91" i="5"/>
  <c r="H91" i="5"/>
  <c r="G91" i="5"/>
  <c r="F91" i="5"/>
  <c r="E91" i="5"/>
  <c r="O19" i="5"/>
  <c r="N19" i="5"/>
  <c r="M19" i="5"/>
  <c r="L19" i="5"/>
  <c r="K19" i="5"/>
  <c r="J19" i="5"/>
  <c r="I19" i="5"/>
  <c r="H19" i="5"/>
  <c r="G19" i="5"/>
  <c r="F19" i="5"/>
  <c r="E19" i="5"/>
  <c r="O68" i="5"/>
  <c r="N68" i="5"/>
  <c r="M68" i="5"/>
  <c r="L68" i="5"/>
  <c r="K68" i="5"/>
  <c r="J68" i="5"/>
  <c r="I68" i="5"/>
  <c r="H68" i="5"/>
  <c r="G68" i="5"/>
  <c r="F68" i="5"/>
  <c r="E68" i="5"/>
  <c r="O86" i="5"/>
  <c r="N86" i="5"/>
  <c r="M86" i="5"/>
  <c r="L86" i="5"/>
  <c r="K86" i="5"/>
  <c r="J86" i="5"/>
  <c r="I86" i="5"/>
  <c r="H86" i="5"/>
  <c r="G86" i="5"/>
  <c r="F86" i="5"/>
  <c r="E86" i="5"/>
  <c r="O74" i="5"/>
  <c r="N74" i="5"/>
  <c r="M74" i="5"/>
  <c r="L74" i="5"/>
  <c r="K74" i="5"/>
  <c r="J74" i="5"/>
  <c r="I74" i="5"/>
  <c r="H74" i="5"/>
  <c r="G74" i="5"/>
  <c r="F74" i="5"/>
  <c r="E74" i="5"/>
  <c r="O67" i="5"/>
  <c r="N67" i="5"/>
  <c r="M67" i="5"/>
  <c r="L67" i="5"/>
  <c r="K67" i="5"/>
  <c r="J67" i="5"/>
  <c r="I67" i="5"/>
  <c r="H67" i="5"/>
  <c r="G67" i="5"/>
  <c r="F67" i="5"/>
  <c r="E67" i="5"/>
  <c r="O39" i="5"/>
  <c r="N39" i="5"/>
  <c r="M39" i="5"/>
  <c r="L39" i="5"/>
  <c r="K39" i="5"/>
  <c r="J39" i="5"/>
  <c r="I39" i="5"/>
  <c r="H39" i="5"/>
  <c r="G39" i="5"/>
  <c r="F39" i="5"/>
  <c r="E39" i="5"/>
  <c r="O85" i="5"/>
  <c r="N85" i="5"/>
  <c r="M85" i="5"/>
  <c r="L85" i="5"/>
  <c r="K85" i="5"/>
  <c r="J85" i="5"/>
  <c r="I85" i="5"/>
  <c r="H85" i="5"/>
  <c r="G85" i="5"/>
  <c r="F85" i="5"/>
  <c r="E85" i="5"/>
  <c r="O20" i="5"/>
  <c r="N20" i="5"/>
  <c r="M20" i="5"/>
  <c r="L20" i="5"/>
  <c r="K20" i="5"/>
  <c r="J20" i="5"/>
  <c r="I20" i="5"/>
  <c r="H20" i="5"/>
  <c r="G20" i="5"/>
  <c r="F20" i="5"/>
  <c r="E20" i="5"/>
  <c r="O41" i="5"/>
  <c r="N41" i="5"/>
  <c r="M41" i="5"/>
  <c r="L41" i="5"/>
  <c r="K41" i="5"/>
  <c r="J41" i="5"/>
  <c r="I41" i="5"/>
  <c r="H41" i="5"/>
  <c r="G41" i="5"/>
  <c r="F41" i="5"/>
  <c r="E41" i="5"/>
  <c r="O102" i="5"/>
  <c r="N102" i="5"/>
  <c r="M102" i="5"/>
  <c r="L102" i="5"/>
  <c r="K102" i="5"/>
  <c r="J102" i="5"/>
  <c r="I102" i="5"/>
  <c r="H102" i="5"/>
  <c r="G102" i="5"/>
  <c r="F102" i="5"/>
  <c r="E102" i="5"/>
  <c r="O23" i="5"/>
  <c r="N23" i="5"/>
  <c r="M23" i="5"/>
  <c r="L23" i="5"/>
  <c r="K23" i="5"/>
  <c r="J23" i="5"/>
  <c r="I23" i="5"/>
  <c r="H23" i="5"/>
  <c r="G23" i="5"/>
  <c r="F23" i="5"/>
  <c r="E23" i="5"/>
  <c r="O49" i="5"/>
  <c r="N49" i="5"/>
  <c r="M49" i="5"/>
  <c r="L49" i="5"/>
  <c r="K49" i="5"/>
  <c r="J49" i="5"/>
  <c r="I49" i="5"/>
  <c r="H49" i="5"/>
  <c r="G49" i="5"/>
  <c r="F49" i="5"/>
  <c r="E49" i="5"/>
  <c r="O87" i="5"/>
  <c r="N87" i="5"/>
  <c r="M87" i="5"/>
  <c r="L87" i="5"/>
  <c r="K87" i="5"/>
  <c r="J87" i="5"/>
  <c r="I87" i="5"/>
  <c r="H87" i="5"/>
  <c r="G87" i="5"/>
  <c r="F87" i="5"/>
  <c r="E87" i="5"/>
  <c r="O28" i="5"/>
  <c r="N28" i="5"/>
  <c r="M28" i="5"/>
  <c r="L28" i="5"/>
  <c r="K28" i="5"/>
  <c r="J28" i="5"/>
  <c r="I28" i="5"/>
  <c r="H28" i="5"/>
  <c r="G28" i="5"/>
  <c r="F28" i="5"/>
  <c r="E28" i="5"/>
  <c r="O82" i="5"/>
  <c r="N82" i="5"/>
  <c r="M82" i="5"/>
  <c r="L82" i="5"/>
  <c r="K82" i="5"/>
  <c r="J82" i="5"/>
  <c r="I82" i="5"/>
  <c r="H82" i="5"/>
  <c r="G82" i="5"/>
  <c r="F82" i="5"/>
  <c r="E82" i="5"/>
  <c r="O88" i="5"/>
  <c r="N88" i="5"/>
  <c r="M88" i="5"/>
  <c r="L88" i="5"/>
  <c r="K88" i="5"/>
  <c r="J88" i="5"/>
  <c r="I88" i="5"/>
  <c r="H88" i="5"/>
  <c r="G88" i="5"/>
  <c r="F88" i="5"/>
  <c r="E88" i="5"/>
  <c r="O52" i="5"/>
  <c r="N52" i="5"/>
  <c r="M52" i="5"/>
  <c r="L52" i="5"/>
  <c r="K52" i="5"/>
  <c r="J52" i="5"/>
  <c r="I52" i="5"/>
  <c r="H52" i="5"/>
  <c r="G52" i="5"/>
  <c r="F52" i="5"/>
  <c r="E52" i="5"/>
  <c r="O66" i="5"/>
  <c r="N66" i="5"/>
  <c r="M66" i="5"/>
  <c r="L66" i="5"/>
  <c r="K66" i="5"/>
  <c r="J66" i="5"/>
  <c r="I66" i="5"/>
  <c r="H66" i="5"/>
  <c r="G66" i="5"/>
  <c r="F66" i="5"/>
  <c r="E66" i="5"/>
  <c r="O44" i="5"/>
  <c r="N44" i="5"/>
  <c r="M44" i="5"/>
  <c r="L44" i="5"/>
  <c r="K44" i="5"/>
  <c r="J44" i="5"/>
  <c r="I44" i="5"/>
  <c r="H44" i="5"/>
  <c r="G44" i="5"/>
  <c r="F44" i="5"/>
  <c r="E44" i="5"/>
  <c r="O42" i="5"/>
  <c r="N42" i="5"/>
  <c r="M42" i="5"/>
  <c r="L42" i="5"/>
  <c r="K42" i="5"/>
  <c r="J42" i="5"/>
  <c r="I42" i="5"/>
  <c r="H42" i="5"/>
  <c r="G42" i="5"/>
  <c r="F42" i="5"/>
  <c r="E42" i="5"/>
  <c r="O32" i="5"/>
  <c r="N32" i="5"/>
  <c r="M32" i="5"/>
  <c r="L32" i="5"/>
  <c r="K32" i="5"/>
  <c r="J32" i="5"/>
  <c r="I32" i="5"/>
  <c r="H32" i="5"/>
  <c r="G32" i="5"/>
  <c r="F32" i="5"/>
  <c r="E32" i="5"/>
  <c r="O18" i="5"/>
  <c r="N18" i="5"/>
  <c r="M18" i="5"/>
  <c r="L18" i="5"/>
  <c r="K18" i="5"/>
  <c r="J18" i="5"/>
  <c r="I18" i="5"/>
  <c r="H18" i="5"/>
  <c r="G18" i="5"/>
  <c r="F18" i="5"/>
  <c r="E18" i="5"/>
  <c r="O97" i="5"/>
  <c r="N97" i="5"/>
  <c r="M97" i="5"/>
  <c r="L97" i="5"/>
  <c r="K97" i="5"/>
  <c r="J97" i="5"/>
  <c r="I97" i="5"/>
  <c r="H97" i="5"/>
  <c r="G97" i="5"/>
  <c r="F97" i="5"/>
  <c r="E97" i="5"/>
  <c r="O37" i="5"/>
  <c r="N37" i="5"/>
  <c r="M37" i="5"/>
  <c r="L37" i="5"/>
  <c r="K37" i="5"/>
  <c r="J37" i="5"/>
  <c r="I37" i="5"/>
  <c r="H37" i="5"/>
  <c r="G37" i="5"/>
  <c r="F37" i="5"/>
  <c r="E37" i="5"/>
  <c r="O57" i="5"/>
  <c r="N57" i="5"/>
  <c r="M57" i="5"/>
  <c r="L57" i="5"/>
  <c r="K57" i="5"/>
  <c r="J57" i="5"/>
  <c r="I57" i="5"/>
  <c r="H57" i="5"/>
  <c r="G57" i="5"/>
  <c r="F57" i="5"/>
  <c r="E57" i="5"/>
  <c r="O90" i="5"/>
  <c r="N90" i="5"/>
  <c r="M90" i="5"/>
  <c r="L90" i="5"/>
  <c r="K90" i="5"/>
  <c r="J90" i="5"/>
  <c r="I90" i="5"/>
  <c r="H90" i="5"/>
  <c r="G90" i="5"/>
  <c r="F90" i="5"/>
  <c r="E90" i="5"/>
  <c r="O17" i="5"/>
  <c r="N17" i="5"/>
  <c r="M17" i="5"/>
  <c r="L17" i="5"/>
  <c r="K17" i="5"/>
  <c r="J17" i="5"/>
  <c r="I17" i="5"/>
  <c r="H17" i="5"/>
  <c r="G17" i="5"/>
  <c r="F17" i="5"/>
  <c r="E17" i="5"/>
  <c r="O43" i="5"/>
  <c r="N43" i="5"/>
  <c r="M43" i="5"/>
  <c r="L43" i="5"/>
  <c r="K43" i="5"/>
  <c r="J43" i="5"/>
  <c r="I43" i="5"/>
  <c r="H43" i="5"/>
  <c r="G43" i="5"/>
  <c r="F43" i="5"/>
  <c r="E43" i="5"/>
  <c r="O63" i="5"/>
  <c r="N63" i="5"/>
  <c r="M63" i="5"/>
  <c r="L63" i="5"/>
  <c r="K63" i="5"/>
  <c r="J63" i="5"/>
  <c r="I63" i="5"/>
  <c r="H63" i="5"/>
  <c r="G63" i="5"/>
  <c r="F63" i="5"/>
  <c r="E63" i="5"/>
  <c r="O25" i="5"/>
  <c r="N25" i="5"/>
  <c r="M25" i="5"/>
  <c r="L25" i="5"/>
  <c r="K25" i="5"/>
  <c r="J25" i="5"/>
  <c r="I25" i="5"/>
  <c r="H25" i="5"/>
  <c r="G25" i="5"/>
  <c r="F25" i="5"/>
  <c r="E25" i="5"/>
  <c r="O6" i="5"/>
  <c r="N6" i="5"/>
  <c r="M6" i="5"/>
  <c r="L6" i="5"/>
  <c r="K6" i="5"/>
  <c r="J6" i="5"/>
  <c r="I6" i="5"/>
  <c r="H6" i="5"/>
  <c r="G6" i="5"/>
  <c r="F6" i="5"/>
  <c r="E6" i="5"/>
  <c r="O35" i="5"/>
  <c r="N35" i="5"/>
  <c r="M35" i="5"/>
  <c r="L35" i="5"/>
  <c r="K35" i="5"/>
  <c r="J35" i="5"/>
  <c r="I35" i="5"/>
  <c r="H35" i="5"/>
  <c r="G35" i="5"/>
  <c r="F35" i="5"/>
  <c r="E35" i="5"/>
  <c r="O84" i="5"/>
  <c r="N84" i="5"/>
  <c r="M84" i="5"/>
  <c r="L84" i="5"/>
  <c r="K84" i="5"/>
  <c r="J84" i="5"/>
  <c r="I84" i="5"/>
  <c r="H84" i="5"/>
  <c r="G84" i="5"/>
  <c r="F84" i="5"/>
  <c r="E84" i="5"/>
  <c r="O16" i="5"/>
  <c r="N16" i="5"/>
  <c r="M16" i="5"/>
  <c r="L16" i="5"/>
  <c r="K16" i="5"/>
  <c r="J16" i="5"/>
  <c r="I16" i="5"/>
  <c r="H16" i="5"/>
  <c r="G16" i="5"/>
  <c r="F16" i="5"/>
  <c r="E16" i="5"/>
  <c r="O11" i="5"/>
  <c r="N11" i="5"/>
  <c r="M11" i="5"/>
  <c r="L11" i="5"/>
  <c r="K11" i="5"/>
  <c r="J11" i="5"/>
  <c r="I11" i="5"/>
  <c r="H11" i="5"/>
  <c r="G11" i="5"/>
  <c r="F11" i="5"/>
  <c r="E11" i="5"/>
  <c r="O14" i="5"/>
  <c r="N14" i="5"/>
  <c r="M14" i="5"/>
  <c r="L14" i="5"/>
  <c r="K14" i="5"/>
  <c r="J14" i="5"/>
  <c r="I14" i="5"/>
  <c r="H14" i="5"/>
  <c r="G14" i="5"/>
  <c r="F14" i="5"/>
  <c r="E14" i="5"/>
  <c r="O71" i="5"/>
  <c r="N71" i="5"/>
  <c r="M71" i="5"/>
  <c r="L71" i="5"/>
  <c r="K71" i="5"/>
  <c r="J71" i="5"/>
  <c r="I71" i="5"/>
  <c r="H71" i="5"/>
  <c r="G71" i="5"/>
  <c r="F71" i="5"/>
  <c r="E71" i="5"/>
  <c r="O26" i="5"/>
  <c r="N26" i="5"/>
  <c r="M26" i="5"/>
  <c r="L26" i="5"/>
  <c r="K26" i="5"/>
  <c r="J26" i="5"/>
  <c r="I26" i="5"/>
  <c r="H26" i="5"/>
  <c r="G26" i="5"/>
  <c r="F26" i="5"/>
  <c r="E26" i="5"/>
  <c r="O53" i="5"/>
  <c r="N53" i="5"/>
  <c r="M53" i="5"/>
  <c r="L53" i="5"/>
  <c r="K53" i="5"/>
  <c r="J53" i="5"/>
  <c r="I53" i="5"/>
  <c r="H53" i="5"/>
  <c r="G53" i="5"/>
  <c r="F53" i="5"/>
  <c r="E53" i="5"/>
  <c r="O99" i="5"/>
  <c r="N99" i="5"/>
  <c r="M99" i="5"/>
  <c r="L99" i="5"/>
  <c r="K99" i="5"/>
  <c r="J99" i="5"/>
  <c r="I99" i="5"/>
  <c r="H99" i="5"/>
  <c r="G99" i="5"/>
  <c r="F99" i="5"/>
  <c r="E99" i="5"/>
  <c r="O83" i="5"/>
  <c r="N83" i="5"/>
  <c r="M83" i="5"/>
  <c r="L83" i="5"/>
  <c r="K83" i="5"/>
  <c r="J83" i="5"/>
  <c r="I83" i="5"/>
  <c r="H83" i="5"/>
  <c r="G83" i="5"/>
  <c r="F83" i="5"/>
  <c r="E83" i="5"/>
  <c r="O80" i="5"/>
  <c r="N80" i="5"/>
  <c r="M80" i="5"/>
  <c r="L80" i="5"/>
  <c r="K80" i="5"/>
  <c r="J80" i="5"/>
  <c r="I80" i="5"/>
  <c r="H80" i="5"/>
  <c r="G80" i="5"/>
  <c r="F80" i="5"/>
  <c r="E80" i="5"/>
  <c r="O30" i="5"/>
  <c r="N30" i="5"/>
  <c r="M30" i="5"/>
  <c r="L30" i="5"/>
  <c r="K30" i="5"/>
  <c r="J30" i="5"/>
  <c r="I30" i="5"/>
  <c r="H30" i="5"/>
  <c r="G30" i="5"/>
  <c r="F30" i="5"/>
  <c r="E30" i="5"/>
  <c r="O4" i="5"/>
  <c r="N4" i="5"/>
  <c r="M4" i="5"/>
  <c r="L4" i="5"/>
  <c r="K4" i="5"/>
  <c r="J4" i="5"/>
  <c r="I4" i="5"/>
  <c r="H4" i="5"/>
  <c r="G4" i="5"/>
  <c r="F4" i="5"/>
  <c r="E4" i="5"/>
  <c r="O75" i="5"/>
  <c r="N75" i="5"/>
  <c r="M75" i="5"/>
  <c r="L75" i="5"/>
  <c r="K75" i="5"/>
  <c r="J75" i="5"/>
  <c r="I75" i="5"/>
  <c r="H75" i="5"/>
  <c r="G75" i="5"/>
  <c r="F75" i="5"/>
  <c r="E75" i="5"/>
  <c r="O100" i="5"/>
  <c r="N100" i="5"/>
  <c r="M100" i="5"/>
  <c r="L100" i="5"/>
  <c r="K100" i="5"/>
  <c r="J100" i="5"/>
  <c r="I100" i="5"/>
  <c r="H100" i="5"/>
  <c r="G100" i="5"/>
  <c r="F100" i="5"/>
  <c r="E100" i="5"/>
  <c r="O98" i="5"/>
  <c r="N98" i="5"/>
  <c r="M98" i="5"/>
  <c r="L98" i="5"/>
  <c r="K98" i="5"/>
  <c r="J98" i="5"/>
  <c r="I98" i="5"/>
  <c r="H98" i="5"/>
  <c r="G98" i="5"/>
  <c r="F98" i="5"/>
  <c r="E98" i="5"/>
  <c r="O9" i="5"/>
  <c r="N9" i="5"/>
  <c r="M9" i="5"/>
  <c r="L9" i="5"/>
  <c r="K9" i="5"/>
  <c r="J9" i="5"/>
  <c r="I9" i="5"/>
  <c r="H9" i="5"/>
  <c r="G9" i="5"/>
  <c r="F9" i="5"/>
  <c r="E9" i="5"/>
  <c r="O22" i="5"/>
  <c r="N22" i="5"/>
  <c r="M22" i="5"/>
  <c r="L22" i="5"/>
  <c r="K22" i="5"/>
  <c r="J22" i="5"/>
  <c r="I22" i="5"/>
  <c r="H22" i="5"/>
  <c r="G22" i="5"/>
  <c r="F22" i="5"/>
  <c r="E22" i="5"/>
  <c r="O38" i="5"/>
  <c r="N38" i="5"/>
  <c r="M38" i="5"/>
  <c r="L38" i="5"/>
  <c r="K38" i="5"/>
  <c r="J38" i="5"/>
  <c r="I38" i="5"/>
  <c r="H38" i="5"/>
  <c r="G38" i="5"/>
  <c r="F38" i="5"/>
  <c r="E38" i="5"/>
  <c r="O54" i="5"/>
  <c r="N54" i="5"/>
  <c r="M54" i="5"/>
  <c r="L54" i="5"/>
  <c r="K54" i="5"/>
  <c r="J54" i="5"/>
  <c r="I54" i="5"/>
  <c r="H54" i="5"/>
  <c r="G54" i="5"/>
  <c r="F54" i="5"/>
  <c r="E54" i="5"/>
  <c r="O78" i="5"/>
  <c r="N78" i="5"/>
  <c r="M78" i="5"/>
  <c r="L78" i="5"/>
  <c r="K78" i="5"/>
  <c r="J78" i="5"/>
  <c r="I78" i="5"/>
  <c r="H78" i="5"/>
  <c r="G78" i="5"/>
  <c r="F78" i="5"/>
  <c r="E78" i="5"/>
  <c r="O64" i="5"/>
  <c r="N64" i="5"/>
  <c r="M64" i="5"/>
  <c r="L64" i="5"/>
  <c r="K64" i="5"/>
  <c r="J64" i="5"/>
  <c r="I64" i="5"/>
  <c r="H64" i="5"/>
  <c r="G64" i="5"/>
  <c r="F64" i="5"/>
  <c r="E64" i="5"/>
  <c r="O5" i="5"/>
  <c r="N5" i="5"/>
  <c r="M5" i="5"/>
  <c r="L5" i="5"/>
  <c r="K5" i="5"/>
  <c r="J5" i="5"/>
  <c r="I5" i="5"/>
  <c r="H5" i="5"/>
  <c r="G5" i="5"/>
  <c r="F5" i="5"/>
  <c r="E5" i="5"/>
  <c r="O56" i="5"/>
  <c r="N56" i="5"/>
  <c r="M56" i="5"/>
  <c r="L56" i="5"/>
  <c r="K56" i="5"/>
  <c r="J56" i="5"/>
  <c r="I56" i="5"/>
  <c r="H56" i="5"/>
  <c r="G56" i="5"/>
  <c r="F56" i="5"/>
  <c r="E56" i="5"/>
  <c r="O89" i="5"/>
  <c r="N89" i="5"/>
  <c r="M89" i="5"/>
  <c r="L89" i="5"/>
  <c r="K89" i="5"/>
  <c r="J89" i="5"/>
  <c r="I89" i="5"/>
  <c r="H89" i="5"/>
  <c r="G89" i="5"/>
  <c r="F89" i="5"/>
  <c r="E89" i="5"/>
  <c r="O13" i="5"/>
  <c r="N13" i="5"/>
  <c r="M13" i="5"/>
  <c r="L13" i="5"/>
  <c r="K13" i="5"/>
  <c r="J13" i="5"/>
  <c r="I13" i="5"/>
  <c r="H13" i="5"/>
  <c r="G13" i="5"/>
  <c r="F13" i="5"/>
  <c r="E13" i="5"/>
  <c r="O40" i="5"/>
  <c r="N40" i="5"/>
  <c r="M40" i="5"/>
  <c r="L40" i="5"/>
  <c r="K40" i="5"/>
  <c r="J40" i="5"/>
  <c r="I40" i="5"/>
  <c r="H40" i="5"/>
  <c r="G40" i="5"/>
  <c r="F40" i="5"/>
  <c r="E40" i="5"/>
  <c r="O101" i="5"/>
  <c r="N101" i="5"/>
  <c r="M101" i="5"/>
  <c r="L101" i="5"/>
  <c r="K101" i="5"/>
  <c r="J101" i="5"/>
  <c r="I101" i="5"/>
  <c r="H101" i="5"/>
  <c r="G101" i="5"/>
  <c r="F101" i="5"/>
  <c r="E101" i="5"/>
  <c r="O72" i="5"/>
  <c r="N72" i="5"/>
  <c r="M72" i="5"/>
  <c r="L72" i="5"/>
  <c r="K72" i="5"/>
  <c r="J72" i="5"/>
  <c r="I72" i="5"/>
  <c r="H72" i="5"/>
  <c r="G72" i="5"/>
  <c r="F72" i="5"/>
  <c r="E72" i="5"/>
  <c r="O34" i="5"/>
  <c r="N34" i="5"/>
  <c r="M34" i="5"/>
  <c r="L34" i="5"/>
  <c r="K34" i="5"/>
  <c r="J34" i="5"/>
  <c r="I34" i="5"/>
  <c r="H34" i="5"/>
  <c r="G34" i="5"/>
  <c r="F34" i="5"/>
  <c r="E34" i="5"/>
  <c r="O12" i="5"/>
  <c r="N12" i="5"/>
  <c r="M12" i="5"/>
  <c r="L12" i="5"/>
  <c r="K12" i="5"/>
  <c r="J12" i="5"/>
  <c r="I12" i="5"/>
  <c r="H12" i="5"/>
  <c r="G12" i="5"/>
  <c r="F12" i="5"/>
  <c r="E12" i="5"/>
  <c r="O76" i="5"/>
  <c r="N76" i="5"/>
  <c r="M76" i="5"/>
  <c r="L76" i="5"/>
  <c r="K76" i="5"/>
  <c r="J76" i="5"/>
  <c r="I76" i="5"/>
  <c r="H76" i="5"/>
  <c r="G76" i="5"/>
  <c r="F76" i="5"/>
  <c r="E76" i="5"/>
  <c r="O61" i="5"/>
  <c r="N61" i="5"/>
  <c r="M61" i="5"/>
  <c r="L61" i="5"/>
  <c r="K61" i="5"/>
  <c r="J61" i="5"/>
  <c r="I61" i="5"/>
  <c r="H61" i="5"/>
  <c r="G61" i="5"/>
  <c r="F61" i="5"/>
  <c r="E61" i="5"/>
  <c r="O45" i="5"/>
  <c r="N45" i="5"/>
  <c r="M45" i="5"/>
  <c r="L45" i="5"/>
  <c r="K45" i="5"/>
  <c r="J45" i="5"/>
  <c r="I45" i="5"/>
  <c r="H45" i="5"/>
  <c r="G45" i="5"/>
  <c r="F45" i="5"/>
  <c r="E45" i="5"/>
  <c r="O62" i="5"/>
  <c r="N62" i="5"/>
  <c r="M62" i="5"/>
  <c r="L62" i="5"/>
  <c r="K62" i="5"/>
  <c r="J62" i="5"/>
  <c r="I62" i="5"/>
  <c r="H62" i="5"/>
  <c r="G62" i="5"/>
  <c r="F62" i="5"/>
  <c r="E62" i="5"/>
  <c r="O27" i="5"/>
  <c r="N27" i="5"/>
  <c r="M27" i="5"/>
  <c r="L27" i="5"/>
  <c r="K27" i="5"/>
  <c r="J27" i="5"/>
  <c r="I27" i="5"/>
  <c r="H27" i="5"/>
  <c r="G27" i="5"/>
  <c r="F27" i="5"/>
  <c r="E27" i="5"/>
  <c r="O103" i="5"/>
  <c r="N103" i="5"/>
  <c r="M103" i="5"/>
  <c r="L103" i="5"/>
  <c r="K103" i="5"/>
  <c r="J103" i="5"/>
  <c r="I103" i="5"/>
  <c r="H103" i="5"/>
  <c r="G103" i="5"/>
  <c r="F103" i="5"/>
  <c r="E103" i="5"/>
  <c r="O104" i="5"/>
  <c r="N104" i="5"/>
  <c r="M104" i="5"/>
  <c r="L104" i="5"/>
  <c r="K104" i="5"/>
  <c r="J104" i="5"/>
  <c r="I104" i="5"/>
  <c r="H104" i="5"/>
  <c r="G104" i="5"/>
  <c r="F104" i="5"/>
  <c r="E104" i="5"/>
  <c r="O48" i="5"/>
  <c r="N48" i="5"/>
  <c r="M48" i="5"/>
  <c r="L48" i="5"/>
  <c r="K48" i="5"/>
  <c r="J48" i="5"/>
  <c r="I48" i="5"/>
  <c r="H48" i="5"/>
  <c r="G48" i="5"/>
  <c r="F48" i="5"/>
  <c r="E48" i="5"/>
  <c r="O7" i="5"/>
  <c r="N7" i="5"/>
  <c r="M7" i="5"/>
  <c r="L7" i="5"/>
  <c r="K7" i="5"/>
  <c r="J7" i="5"/>
  <c r="I7" i="5"/>
  <c r="H7" i="5"/>
  <c r="G7" i="5"/>
  <c r="F7" i="5"/>
  <c r="E7" i="5"/>
  <c r="O46" i="5"/>
  <c r="N46" i="5"/>
  <c r="M46" i="5"/>
  <c r="L46" i="5"/>
  <c r="K46" i="5"/>
  <c r="J46" i="5"/>
  <c r="I46" i="5"/>
  <c r="H46" i="5"/>
  <c r="G46" i="5"/>
  <c r="F46" i="5"/>
  <c r="E46" i="5"/>
  <c r="O93" i="5"/>
  <c r="N93" i="5"/>
  <c r="M93" i="5"/>
  <c r="L93" i="5"/>
  <c r="K93" i="5"/>
  <c r="J93" i="5"/>
  <c r="I93" i="5"/>
  <c r="H93" i="5"/>
  <c r="G93" i="5"/>
  <c r="F93" i="5"/>
  <c r="E93" i="5"/>
  <c r="O59" i="5"/>
  <c r="N59" i="5"/>
  <c r="M59" i="5"/>
  <c r="L59" i="5"/>
  <c r="K59" i="5"/>
  <c r="J59" i="5"/>
  <c r="I59" i="5"/>
  <c r="H59" i="5"/>
  <c r="G59" i="5"/>
  <c r="F59" i="5"/>
  <c r="E59" i="5"/>
  <c r="O79" i="5"/>
  <c r="N79" i="5"/>
  <c r="M79" i="5"/>
  <c r="L79" i="5"/>
  <c r="K79" i="5"/>
  <c r="J79" i="5"/>
  <c r="I79" i="5"/>
  <c r="H79" i="5"/>
  <c r="G79" i="5"/>
  <c r="F79" i="5"/>
  <c r="E79" i="5"/>
  <c r="O65" i="5"/>
  <c r="N65" i="5"/>
  <c r="M65" i="5"/>
  <c r="L65" i="5"/>
  <c r="K65" i="5"/>
  <c r="J65" i="5"/>
  <c r="I65" i="5"/>
  <c r="H65" i="5"/>
  <c r="G65" i="5"/>
  <c r="F65" i="5"/>
  <c r="E65" i="5"/>
  <c r="O60" i="5"/>
  <c r="N60" i="5"/>
  <c r="M60" i="5"/>
  <c r="L60" i="5"/>
  <c r="K60" i="5"/>
  <c r="J60" i="5"/>
  <c r="I60" i="5"/>
  <c r="H60" i="5"/>
  <c r="G60" i="5"/>
  <c r="F60" i="5"/>
  <c r="E60" i="5"/>
  <c r="O33" i="5"/>
  <c r="N33" i="5"/>
  <c r="M33" i="5"/>
  <c r="L33" i="5"/>
  <c r="K33" i="5"/>
  <c r="J33" i="5"/>
  <c r="I33" i="5"/>
  <c r="H33" i="5"/>
  <c r="G33" i="5"/>
  <c r="F33" i="5"/>
  <c r="E33" i="5"/>
  <c r="O21" i="5"/>
  <c r="N21" i="5"/>
  <c r="M21" i="5"/>
  <c r="L21" i="5"/>
  <c r="K21" i="5"/>
  <c r="J21" i="5"/>
  <c r="I21" i="5"/>
  <c r="H21" i="5"/>
  <c r="G21" i="5"/>
  <c r="F21" i="5"/>
  <c r="E21" i="5"/>
  <c r="O58" i="5"/>
  <c r="N58" i="5"/>
  <c r="M58" i="5"/>
  <c r="L58" i="5"/>
  <c r="K58" i="5"/>
  <c r="J58" i="5"/>
  <c r="I58" i="5"/>
  <c r="H58" i="5"/>
  <c r="G58" i="5"/>
  <c r="F58" i="5"/>
  <c r="E58" i="5"/>
  <c r="O36" i="5"/>
  <c r="N36" i="5"/>
  <c r="M36" i="5"/>
  <c r="L36" i="5"/>
  <c r="K36" i="5"/>
  <c r="J36" i="5"/>
  <c r="I36" i="5"/>
  <c r="H36" i="5"/>
  <c r="G36" i="5"/>
  <c r="F36" i="5"/>
  <c r="E36" i="5"/>
  <c r="O29" i="5"/>
  <c r="N29" i="5"/>
  <c r="M29" i="5"/>
  <c r="L29" i="5"/>
  <c r="K29" i="5"/>
  <c r="J29" i="5"/>
  <c r="I29" i="5"/>
  <c r="H29" i="5"/>
  <c r="G29" i="5"/>
  <c r="F29" i="5"/>
  <c r="E29" i="5"/>
  <c r="O69" i="5"/>
  <c r="N69" i="5"/>
  <c r="M69" i="5"/>
  <c r="L69" i="5"/>
  <c r="K69" i="5"/>
  <c r="J69" i="5"/>
  <c r="I69" i="5"/>
  <c r="H69" i="5"/>
  <c r="G69" i="5"/>
  <c r="F69" i="5"/>
  <c r="E69" i="5"/>
  <c r="O96" i="5"/>
  <c r="N96" i="5"/>
  <c r="M96" i="5"/>
  <c r="L96" i="5"/>
  <c r="K96" i="5"/>
  <c r="J96" i="5"/>
  <c r="I96" i="5"/>
  <c r="H96" i="5"/>
  <c r="G96" i="5"/>
  <c r="F96" i="5"/>
  <c r="E96" i="5"/>
  <c r="O92" i="5"/>
  <c r="N92" i="5"/>
  <c r="M92" i="5"/>
  <c r="L92" i="5"/>
  <c r="K92" i="5"/>
  <c r="J92" i="5"/>
  <c r="I92" i="5"/>
  <c r="H92" i="5"/>
  <c r="G92" i="5"/>
  <c r="F92" i="5"/>
  <c r="E92" i="5"/>
  <c r="O8" i="5"/>
  <c r="N8" i="5"/>
  <c r="M8" i="5"/>
  <c r="L8" i="5"/>
  <c r="K8" i="5"/>
  <c r="J8" i="5"/>
  <c r="I8" i="5"/>
  <c r="H8" i="5"/>
  <c r="G8" i="5"/>
  <c r="F8" i="5"/>
  <c r="E8" i="5"/>
  <c r="O31" i="5"/>
  <c r="N31" i="5"/>
  <c r="M31" i="5"/>
  <c r="L31" i="5"/>
  <c r="K31" i="5"/>
  <c r="J31" i="5"/>
  <c r="I31" i="5"/>
  <c r="H31" i="5"/>
  <c r="G31" i="5"/>
  <c r="F31" i="5"/>
  <c r="E31" i="5"/>
  <c r="P31" i="5" l="1"/>
  <c r="P11" i="5"/>
  <c r="P37" i="5"/>
  <c r="P63" i="5"/>
  <c r="P4" i="5"/>
  <c r="P14" i="5"/>
  <c r="P23" i="5"/>
  <c r="P53" i="5"/>
  <c r="P71" i="5"/>
  <c r="P69" i="5"/>
  <c r="P19" i="5"/>
  <c r="P30" i="5"/>
  <c r="P41" i="5"/>
  <c r="P12" i="5"/>
  <c r="P45" i="5"/>
  <c r="P21" i="5"/>
  <c r="P57" i="5"/>
  <c r="P46" i="5"/>
  <c r="P94" i="5"/>
  <c r="P86" i="5"/>
  <c r="P26" i="5"/>
  <c r="P42" i="5"/>
  <c r="P58" i="5"/>
  <c r="P74" i="5"/>
  <c r="P85" i="5"/>
  <c r="P13" i="5"/>
  <c r="P73" i="5"/>
  <c r="P25" i="5"/>
  <c r="P83" i="5"/>
  <c r="P22" i="5"/>
  <c r="P81" i="5"/>
  <c r="P104" i="5"/>
  <c r="P55" i="5"/>
  <c r="P40" i="5"/>
  <c r="P88" i="5"/>
  <c r="P56" i="5"/>
  <c r="P103" i="5"/>
  <c r="P87" i="5"/>
  <c r="P70" i="5"/>
  <c r="P102" i="5"/>
  <c r="P54" i="5"/>
  <c r="P24" i="5"/>
  <c r="P101" i="5"/>
  <c r="P38" i="5"/>
  <c r="P98" i="5"/>
  <c r="P39" i="5"/>
  <c r="P82" i="5"/>
  <c r="P97" i="5"/>
  <c r="P66" i="5"/>
  <c r="P65" i="5"/>
  <c r="P50" i="5"/>
  <c r="P49" i="5"/>
  <c r="P99" i="5"/>
  <c r="P34" i="5"/>
  <c r="P95" i="5"/>
  <c r="P33" i="5"/>
  <c r="P79" i="5"/>
  <c r="P67" i="5"/>
  <c r="P100" i="5"/>
  <c r="P51" i="5"/>
  <c r="P47" i="5"/>
  <c r="P84" i="5"/>
  <c r="P35" i="5"/>
  <c r="P18" i="5"/>
  <c r="P68" i="5"/>
  <c r="P52" i="5"/>
  <c r="P17" i="5"/>
  <c r="P36" i="5"/>
  <c r="P78" i="5"/>
  <c r="P62" i="5"/>
  <c r="P15" i="5"/>
  <c r="P20" i="5"/>
  <c r="P9" i="5"/>
  <c r="P10" i="5"/>
  <c r="P8" i="5"/>
  <c r="P6" i="5"/>
  <c r="P5" i="5"/>
  <c r="P7" i="5"/>
  <c r="P96" i="5"/>
  <c r="P80" i="5"/>
  <c r="P64" i="5"/>
  <c r="P48" i="5"/>
  <c r="P32" i="5"/>
  <c r="P16" i="5"/>
  <c r="P93" i="5"/>
  <c r="P77" i="5"/>
  <c r="P61" i="5"/>
  <c r="P29" i="5"/>
  <c r="P92" i="5"/>
  <c r="P76" i="5"/>
  <c r="P60" i="5"/>
  <c r="P44" i="5"/>
  <c r="P28" i="5"/>
  <c r="P89" i="5"/>
  <c r="P91" i="5"/>
  <c r="P75" i="5"/>
  <c r="P59" i="5"/>
  <c r="P43" i="5"/>
  <c r="P27" i="5"/>
  <c r="P90" i="5"/>
  <c r="P72" i="5"/>
</calcChain>
</file>

<file path=xl/sharedStrings.xml><?xml version="1.0" encoding="utf-8"?>
<sst xmlns="http://schemas.openxmlformats.org/spreadsheetml/2006/main" count="322" uniqueCount="230">
  <si>
    <t>S.No.</t>
  </si>
  <si>
    <t>Company Name</t>
  </si>
  <si>
    <t>Code</t>
  </si>
  <si>
    <t>Sector</t>
  </si>
  <si>
    <t>Real Estate</t>
  </si>
  <si>
    <t>Annual Growth</t>
  </si>
  <si>
    <t>Debt to Equity</t>
  </si>
  <si>
    <t>Fundamentals</t>
  </si>
  <si>
    <t>P/E</t>
  </si>
  <si>
    <t>Valuation</t>
  </si>
  <si>
    <t>Discount To FV</t>
  </si>
  <si>
    <t>Personal</t>
  </si>
  <si>
    <t>Rec</t>
  </si>
  <si>
    <t>Risk</t>
  </si>
  <si>
    <t>ex Dividend</t>
  </si>
  <si>
    <t>Dividend</t>
  </si>
  <si>
    <t>Target %</t>
  </si>
  <si>
    <t>Price</t>
  </si>
  <si>
    <t>Dividend %</t>
  </si>
  <si>
    <t>Information Technology</t>
  </si>
  <si>
    <t>AAPL</t>
  </si>
  <si>
    <t>Apple Inc.</t>
  </si>
  <si>
    <t>Health Care</t>
  </si>
  <si>
    <t>ABBV</t>
  </si>
  <si>
    <t>AbbVie</t>
  </si>
  <si>
    <t>ABT</t>
  </si>
  <si>
    <t>Abbott Laboratories</t>
  </si>
  <si>
    <t>ACN</t>
  </si>
  <si>
    <t>Accenture plc</t>
  </si>
  <si>
    <t>ADBE</t>
  </si>
  <si>
    <t>Adobe Inc.</t>
  </si>
  <si>
    <t>Financials</t>
  </si>
  <si>
    <t>AIG</t>
  </si>
  <si>
    <t>American International Group</t>
  </si>
  <si>
    <t>AMD</t>
  </si>
  <si>
    <t>Advanced Micro Devices</t>
  </si>
  <si>
    <t>AMGN</t>
  </si>
  <si>
    <t>Amgen</t>
  </si>
  <si>
    <t>AMT</t>
  </si>
  <si>
    <t>American Tower</t>
  </si>
  <si>
    <t>Consumer Discretionary</t>
  </si>
  <si>
    <t>AMZN</t>
  </si>
  <si>
    <t>Amazon</t>
  </si>
  <si>
    <t>AVGO</t>
  </si>
  <si>
    <t>Broadcom</t>
  </si>
  <si>
    <t>AXP</t>
  </si>
  <si>
    <t>American Express</t>
  </si>
  <si>
    <t>Industrials</t>
  </si>
  <si>
    <t>BA</t>
  </si>
  <si>
    <t>Boeing</t>
  </si>
  <si>
    <t>BAC</t>
  </si>
  <si>
    <t>Bank of America</t>
  </si>
  <si>
    <t>BK</t>
  </si>
  <si>
    <t>BNY Mellon</t>
  </si>
  <si>
    <t>BKNG</t>
  </si>
  <si>
    <t>Booking Holdings</t>
  </si>
  <si>
    <t>BLK</t>
  </si>
  <si>
    <t>BlackRock</t>
  </si>
  <si>
    <t>BMY</t>
  </si>
  <si>
    <t>Bristol Myers Squibb</t>
  </si>
  <si>
    <t>Berkshire Hathaway Inc. (Class B)</t>
  </si>
  <si>
    <t>C</t>
  </si>
  <si>
    <t>Citigroup</t>
  </si>
  <si>
    <t>CAT</t>
  </si>
  <si>
    <t>Caterpillar Inc.</t>
  </si>
  <si>
    <t>Communication Services</t>
  </si>
  <si>
    <t>CHTR</t>
  </si>
  <si>
    <t>Charter Communications</t>
  </si>
  <si>
    <t>Consumer Staples</t>
  </si>
  <si>
    <t>CL</t>
  </si>
  <si>
    <t>Colgate-Palmolive</t>
  </si>
  <si>
    <t>CMCSA</t>
  </si>
  <si>
    <t>Comcast</t>
  </si>
  <si>
    <t>COF</t>
  </si>
  <si>
    <t>Capital One Financial</t>
  </si>
  <si>
    <t>Energy</t>
  </si>
  <si>
    <t>COP</t>
  </si>
  <si>
    <t>ConocoPhillips</t>
  </si>
  <si>
    <t>COST</t>
  </si>
  <si>
    <t>Costco</t>
  </si>
  <si>
    <t>CRM</t>
  </si>
  <si>
    <t>Salesforce</t>
  </si>
  <si>
    <t>CSCO</t>
  </si>
  <si>
    <t>Cisco</t>
  </si>
  <si>
    <t>CVS</t>
  </si>
  <si>
    <t>CVS Health</t>
  </si>
  <si>
    <t>CVX</t>
  </si>
  <si>
    <t>Chevron Corporation</t>
  </si>
  <si>
    <t>DE</t>
  </si>
  <si>
    <t>Deere &amp; Company</t>
  </si>
  <si>
    <t>DHR</t>
  </si>
  <si>
    <t>Danaher Corporation</t>
  </si>
  <si>
    <t>DIS</t>
  </si>
  <si>
    <t>Walt Disney Company</t>
  </si>
  <si>
    <t>Utilities</t>
  </si>
  <si>
    <t>DUK</t>
  </si>
  <si>
    <t>Duke Energy</t>
  </si>
  <si>
    <t>EMR</t>
  </si>
  <si>
    <t>Emerson Electric</t>
  </si>
  <si>
    <t>FDX</t>
  </si>
  <si>
    <t>FedEx</t>
  </si>
  <si>
    <t>GD</t>
  </si>
  <si>
    <t>General Dynamics</t>
  </si>
  <si>
    <t>GE</t>
  </si>
  <si>
    <t>GE Aerospace</t>
  </si>
  <si>
    <t>GILD</t>
  </si>
  <si>
    <t>Gilead Sciences</t>
  </si>
  <si>
    <t>GM</t>
  </si>
  <si>
    <t>General Motors</t>
  </si>
  <si>
    <t>GOOG</t>
  </si>
  <si>
    <t>Alphabet Inc. (Class C)</t>
  </si>
  <si>
    <t>GOOGL</t>
  </si>
  <si>
    <t>Alphabet Inc. (Class A)</t>
  </si>
  <si>
    <t>GS</t>
  </si>
  <si>
    <t>Goldman Sachs</t>
  </si>
  <si>
    <t>HD</t>
  </si>
  <si>
    <t>Home Depot</t>
  </si>
  <si>
    <t>HON</t>
  </si>
  <si>
    <t>Honeywell</t>
  </si>
  <si>
    <t>IBM</t>
  </si>
  <si>
    <t>INTC</t>
  </si>
  <si>
    <t>Intel</t>
  </si>
  <si>
    <t>INTU</t>
  </si>
  <si>
    <t>Intuit</t>
  </si>
  <si>
    <t>ISRG</t>
  </si>
  <si>
    <t>Intuitive Surgical</t>
  </si>
  <si>
    <t>JNJ</t>
  </si>
  <si>
    <t>Johnson &amp; Johnson</t>
  </si>
  <si>
    <t>JPM</t>
  </si>
  <si>
    <t>JPMorgan Chase</t>
  </si>
  <si>
    <t>KO</t>
  </si>
  <si>
    <t>Coca-Cola</t>
  </si>
  <si>
    <t>Materials</t>
  </si>
  <si>
    <t>LIN</t>
  </si>
  <si>
    <t>Linde plc</t>
  </si>
  <si>
    <t>LLY</t>
  </si>
  <si>
    <t>Eli Lilly and Company</t>
  </si>
  <si>
    <t>LMT</t>
  </si>
  <si>
    <t>Lockheed Martin</t>
  </si>
  <si>
    <t>LOW</t>
  </si>
  <si>
    <t>Lowe's</t>
  </si>
  <si>
    <t>MA</t>
  </si>
  <si>
    <t>Mastercard</t>
  </si>
  <si>
    <t>MCD</t>
  </si>
  <si>
    <t>McDonald's</t>
  </si>
  <si>
    <t>MDLZ</t>
  </si>
  <si>
    <t>Mondelēz International</t>
  </si>
  <si>
    <t>MDT</t>
  </si>
  <si>
    <t>Medtronic</t>
  </si>
  <si>
    <t>MET</t>
  </si>
  <si>
    <t>MetLife</t>
  </si>
  <si>
    <t>META</t>
  </si>
  <si>
    <t>Meta Platforms</t>
  </si>
  <si>
    <t>MMM</t>
  </si>
  <si>
    <t>3M</t>
  </si>
  <si>
    <t>MO</t>
  </si>
  <si>
    <t>Altria</t>
  </si>
  <si>
    <t>MRK</t>
  </si>
  <si>
    <t>Merck &amp; Co.</t>
  </si>
  <si>
    <t>MS</t>
  </si>
  <si>
    <t>Morgan Stanley</t>
  </si>
  <si>
    <t>MSFT</t>
  </si>
  <si>
    <t>Microsoft</t>
  </si>
  <si>
    <t>NEE</t>
  </si>
  <si>
    <t>NextEra Energy</t>
  </si>
  <si>
    <t>NFLX</t>
  </si>
  <si>
    <t>Netflix</t>
  </si>
  <si>
    <t>NKE</t>
  </si>
  <si>
    <t>Nike</t>
  </si>
  <si>
    <t>NOW</t>
  </si>
  <si>
    <t>ServiceNow</t>
  </si>
  <si>
    <t>NVDA</t>
  </si>
  <si>
    <t>Nvidia</t>
  </si>
  <si>
    <t>ORCL</t>
  </si>
  <si>
    <t>Oracle</t>
  </si>
  <si>
    <t>PEP</t>
  </si>
  <si>
    <t>PepsiCo</t>
  </si>
  <si>
    <t>PFE</t>
  </si>
  <si>
    <t>Pfizer</t>
  </si>
  <si>
    <t>PG</t>
  </si>
  <si>
    <t>Procter &amp; Gamble</t>
  </si>
  <si>
    <t>PLTR</t>
  </si>
  <si>
    <t>Palantir Technologies</t>
  </si>
  <si>
    <t>PM</t>
  </si>
  <si>
    <t>Philip Morris International</t>
  </si>
  <si>
    <t>PYPL</t>
  </si>
  <si>
    <t>PayPal</t>
  </si>
  <si>
    <t>QCOM</t>
  </si>
  <si>
    <t>Qualcomm</t>
  </si>
  <si>
    <t>RTX</t>
  </si>
  <si>
    <t>RTX Corporation</t>
  </si>
  <si>
    <t>SBUX</t>
  </si>
  <si>
    <t>Starbucks</t>
  </si>
  <si>
    <t>SCHW</t>
  </si>
  <si>
    <t>Charles Schwab</t>
  </si>
  <si>
    <t>SO</t>
  </si>
  <si>
    <t>Southern Company</t>
  </si>
  <si>
    <t>SPG</t>
  </si>
  <si>
    <t>Simon Property Group</t>
  </si>
  <si>
    <t>T</t>
  </si>
  <si>
    <t>AT&amp;T</t>
  </si>
  <si>
    <t>TGT</t>
  </si>
  <si>
    <t>Target</t>
  </si>
  <si>
    <t>TMO</t>
  </si>
  <si>
    <t>Thermo Fisher Scientific</t>
  </si>
  <si>
    <t>TMUS</t>
  </si>
  <si>
    <t>T-Mobile US</t>
  </si>
  <si>
    <t>TSLA</t>
  </si>
  <si>
    <t>Tesla</t>
  </si>
  <si>
    <t>TXN</t>
  </si>
  <si>
    <t>Texas Instruments</t>
  </si>
  <si>
    <t>UNH</t>
  </si>
  <si>
    <t>UnitedHealth Group</t>
  </si>
  <si>
    <t>UNP</t>
  </si>
  <si>
    <t>Union Pacific</t>
  </si>
  <si>
    <t>UPS</t>
  </si>
  <si>
    <t>USB</t>
  </si>
  <si>
    <t>U.S. Bancorp</t>
  </si>
  <si>
    <t>V</t>
  </si>
  <si>
    <t>Visa</t>
  </si>
  <si>
    <t>VZ</t>
  </si>
  <si>
    <t>Verizon</t>
  </si>
  <si>
    <t>WFC</t>
  </si>
  <si>
    <t>Wells Fargo</t>
  </si>
  <si>
    <t>WMT</t>
  </si>
  <si>
    <t>Walmart</t>
  </si>
  <si>
    <t>XOM</t>
  </si>
  <si>
    <t>ExxonMobil</t>
  </si>
  <si>
    <t>BRK-B</t>
  </si>
  <si>
    <t>ROE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</si>
</sst>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_-[$$-409]* #,##0.00_ ;_-[$$-409]* \-#,##0.00\ ;_-[$$-409]* &quot;-&quot;??_ ;_-@_ 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10" fontId="0" fillId="0" borderId="0" xfId="1" applyNumberFormat="1" applyFont="1"/>
    <xf numFmtId="0" fontId="1" fillId="0" borderId="0" xfId="0" applyFont="1" applyAlignment="1">
      <alignment horizontal="center"/>
    </xf>
    <xf numFmtId="2" fontId="0" fillId="0" borderId="0" xfId="0" applyNumberFormat="1"/>
    <xf numFmtId="9" fontId="0" fillId="0" borderId="0" xfId="1" applyFont="1"/>
    <xf numFmtId="0" fontId="0" fillId="4" borderId="0" xfId="0" applyFill="1" applyAlignment="1">
      <alignment horizontal="center"/>
    </xf>
    <xf numFmtId="167" fontId="0" fillId="0" borderId="0" xfId="0" applyNumberForma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Normal" xfId="0" builtinId="0"/>
    <cellStyle name="Porcentaje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b/>
        <i val="0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BC63A-16B2-4BEC-B8C9-F9E5950C9E59}">
  <dimension ref="A2:P104"/>
  <sheetViews>
    <sheetView tabSelected="1" workbookViewId="0">
      <selection activeCell="D14" sqref="D14"/>
    </sheetView>
  </sheetViews>
  <sheetFormatPr baseColWidth="10" defaultRowHeight="15" x14ac:dyDescent="0.25"/>
  <cols>
    <col min="1" max="1" width="8.140625" bestFit="1" customWidth="1"/>
    <col min="2" max="2" width="23" bestFit="1" customWidth="1"/>
    <col min="3" max="3" width="8.140625" bestFit="1" customWidth="1"/>
    <col min="4" max="4" width="30.85546875" bestFit="1" customWidth="1"/>
    <col min="5" max="5" width="18.7109375" bestFit="1" customWidth="1"/>
    <col min="6" max="6" width="18.42578125" bestFit="1" customWidth="1"/>
    <col min="7" max="7" width="11.42578125" bestFit="1" customWidth="1"/>
    <col min="8" max="8" width="9.140625" bestFit="1" customWidth="1"/>
    <col min="9" max="9" width="18.85546875" bestFit="1" customWidth="1"/>
    <col min="10" max="10" width="10.85546875" bestFit="1" customWidth="1"/>
    <col min="11" max="11" width="9.42578125" bestFit="1" customWidth="1"/>
    <col min="12" max="12" width="13.140625" bestFit="1" customWidth="1"/>
    <col min="13" max="13" width="16.28515625" bestFit="1" customWidth="1"/>
    <col min="14" max="14" width="13.7109375" bestFit="1" customWidth="1"/>
    <col min="15" max="15" width="12.5703125" bestFit="1" customWidth="1"/>
    <col min="16" max="16" width="15.7109375" bestFit="1" customWidth="1"/>
  </cols>
  <sheetData>
    <row r="2" spans="1:16" x14ac:dyDescent="0.25">
      <c r="E2" s="8" t="s">
        <v>7</v>
      </c>
      <c r="F2" s="8"/>
      <c r="G2" s="8"/>
      <c r="H2" s="9" t="s">
        <v>9</v>
      </c>
      <c r="I2" s="9"/>
      <c r="J2" s="10" t="s">
        <v>11</v>
      </c>
      <c r="K2" s="10"/>
      <c r="L2" s="10"/>
      <c r="M2" s="10"/>
      <c r="N2" s="10"/>
      <c r="O2" s="6"/>
      <c r="P2" s="6"/>
    </row>
    <row r="3" spans="1:16" x14ac:dyDescent="0.25">
      <c r="A3" s="1" t="s">
        <v>0</v>
      </c>
      <c r="B3" s="1" t="s">
        <v>3</v>
      </c>
      <c r="C3" s="1" t="s">
        <v>2</v>
      </c>
      <c r="D3" s="1" t="s">
        <v>1</v>
      </c>
      <c r="E3" s="3" t="s">
        <v>5</v>
      </c>
      <c r="F3" s="3" t="s">
        <v>6</v>
      </c>
      <c r="G3" s="3" t="s">
        <v>229</v>
      </c>
      <c r="H3" s="3" t="s">
        <v>8</v>
      </c>
      <c r="I3" s="3" t="s">
        <v>10</v>
      </c>
      <c r="J3" s="3" t="s">
        <v>12</v>
      </c>
      <c r="K3" s="3" t="s">
        <v>13</v>
      </c>
      <c r="L3" s="3" t="s">
        <v>16</v>
      </c>
      <c r="M3" s="3" t="s">
        <v>14</v>
      </c>
      <c r="N3" s="3" t="s">
        <v>15</v>
      </c>
      <c r="O3" s="3" t="s">
        <v>17</v>
      </c>
      <c r="P3" s="3" t="s">
        <v>18</v>
      </c>
    </row>
    <row r="4" spans="1:16" x14ac:dyDescent="0.25">
      <c r="A4">
        <v>1</v>
      </c>
      <c r="B4" t="s">
        <v>19</v>
      </c>
      <c r="C4" t="s">
        <v>20</v>
      </c>
      <c r="D4" t="s">
        <v>21</v>
      </c>
      <c r="E4" s="2">
        <f>_xlfn.NUMBERVALUE(SUBSTITUTE(_xlfn.WEBSERVICE(_xlfn.CONCAT("http://172.31.103.65:5000/symbol/",$C4,"/annualGrowthRatio/raw")),".",",",1))</f>
        <v>-2.98992757345246E-2</v>
      </c>
      <c r="F4" s="2">
        <f>_xlfn.NUMBERVALUE(SUBSTITUTE(_xlfn.WEBSERVICE(_xlfn.CONCAT("http://172.31.103.65:5000/symbol/",$C4,"/debtToEquityPercentage/raw")),".",",",1))/100</f>
        <v>1.46994</v>
      </c>
      <c r="G4" s="2">
        <f>_xlfn.NUMBERVALUE(SUBSTITUTE(_xlfn.WEBSERVICE(_xlfn.CONCAT("http://172.31.103.65:5000/symbol/",$C4,"/ROE/raw")),".",",",1))</f>
        <v>1.70841088899034</v>
      </c>
      <c r="H4" s="4">
        <f>_xlfn.NUMBERVALUE(SUBSTITUTE(_xlfn.WEBSERVICE(_xlfn.CONCAT("http://172.31.103.65:5000/symbol/",$C4,"/PERatio/raw")),".",",",1))</f>
        <v>32.908099999999997</v>
      </c>
      <c r="I4" s="5">
        <f>_xlfn.NUMBERVALUE(SUBSTITUTE(_xlfn.WEBSERVICE(_xlfn.CONCAT("http://172.31.103.65:5000/symbol/",$C4,"/discountToIntrinsicValueRatio/raw")),".",",",1))</f>
        <v>-0.36548131487441898</v>
      </c>
      <c r="J4" t="str">
        <f>_xlfn.WEBSERVICE(_xlfn.CONCAT("http://172.31.103.65:5000/symbol/",$C4,"/recommendationKey/raw"))</f>
        <v>buy</v>
      </c>
      <c r="K4" s="4">
        <f>_xlfn.NUMBERVALUE(_xlfn.WEBSERVICE(_xlfn.CONCAT("http://172.31.103.65:5000/symbol/",$C4,"/overallRisk/raw")))</f>
        <v>1</v>
      </c>
      <c r="L4" s="5">
        <f>_xlfn.NUMBERVALUE(SUBSTITUTE(_xlfn.WEBSERVICE(_xlfn.CONCAT("http://172.31.103.65:5000/symbol/",$C4,"/targetRatio/raw")),".",",",1))</f>
        <v>9.1596440573673402E-2</v>
      </c>
      <c r="M4" t="str">
        <f>_xlfn.WEBSERVICE(_xlfn.CONCAT("http://172.31.103.65:5000/symbol/",$C4,"/exDividendDate/raw"))</f>
        <v>12/05/2025</v>
      </c>
      <c r="N4" s="7">
        <f>_xlfn.NUMBERVALUE(SUBSTITUTE(SUBSTITUTE(_xlfn.WEBSERVICE(_xlfn.CONCAT("http://172.31.103.65:5000/symbol/",$C4,"/dividendRate/raw")),".",",",1),"-","0", 1))</f>
        <v>1.04</v>
      </c>
      <c r="O4" s="7">
        <f>_xlfn.NUMBERVALUE(SUBSTITUTE(_xlfn.WEBSERVICE(_xlfn.CONCAT("http://172.31.103.65:5000/symbol/",$C4,"/currentPrice/raw")),".",",",1))</f>
        <v>211.27</v>
      </c>
      <c r="P4" s="2">
        <f>N4/O4</f>
        <v>4.9226108770767264E-3</v>
      </c>
    </row>
    <row r="5" spans="1:16" x14ac:dyDescent="0.25">
      <c r="A5">
        <v>2</v>
      </c>
      <c r="B5" t="s">
        <v>22</v>
      </c>
      <c r="C5" t="s">
        <v>23</v>
      </c>
      <c r="D5" t="s">
        <v>24</v>
      </c>
      <c r="E5" s="2">
        <f>_xlfn.NUMBERVALUE(SUBSTITUTE(_xlfn.WEBSERVICE(_xlfn.CONCAT("http://172.31.103.65:5000/symbol/",$C5,"/annualGrowthRatio/raw")),".",",",1))</f>
        <v>6.0384968719736698E-2</v>
      </c>
      <c r="F5" s="2">
        <f>_xlfn.NUMBERVALUE(SUBSTITUTE(_xlfn.WEBSERVICE(_xlfn.CONCAT("http://172.31.103.65:5000/symbol/",$C5,"/debtToEquityPercentage/raw")),".",",",1))/100</f>
        <v>47.896030000000003</v>
      </c>
      <c r="G5" s="2">
        <f>_xlfn.NUMBERVALUE(SUBSTITUTE(_xlfn.WEBSERVICE(_xlfn.CONCAT("http://172.31.103.65:5000/symbol/",$C5,"/ROE/raw")),".",",",1))</f>
        <v>1.2496240793984901</v>
      </c>
      <c r="H5" s="4">
        <f>_xlfn.NUMBERVALUE(SUBSTITUTE(_xlfn.WEBSERVICE(_xlfn.CONCAT("http://172.31.103.65:5000/symbol/",$C5,"/PERatio/raw")),".",",",1))</f>
        <v>81.717950000000002</v>
      </c>
      <c r="I5" s="5">
        <f>_xlfn.NUMBERVALUE(SUBSTITUTE(_xlfn.WEBSERVICE(_xlfn.CONCAT("http://172.31.103.65:5000/symbol/",$C5,"/discountToIntrinsicValueRatio/raw")),".",",",1))</f>
        <v>20.931207004377701</v>
      </c>
      <c r="J5" t="str">
        <f>_xlfn.WEBSERVICE(_xlfn.CONCAT("http://172.31.103.65:5000/symbol/",$C5,"/recommendationKey/raw"))</f>
        <v>buy</v>
      </c>
      <c r="K5" s="4">
        <f>_xlfn.NUMBERVALUE(_xlfn.WEBSERVICE(_xlfn.CONCAT("http://172.31.103.65:5000/symbol/",$C5,"/overallRisk/raw")))</f>
        <v>7</v>
      </c>
      <c r="L5" s="5">
        <f>_xlfn.NUMBERVALUE(SUBSTITUTE(_xlfn.WEBSERVICE(_xlfn.CONCAT("http://172.31.103.65:5000/symbol/",$C5,"/targetRatio/raw")),".",",",1))</f>
        <v>9.8613743332287396E-2</v>
      </c>
      <c r="M5" t="str">
        <f>_xlfn.WEBSERVICE(_xlfn.CONCAT("http://172.31.103.65:5000/symbol/",$C5,"/exDividendDate/raw"))</f>
        <v>15/07/2025</v>
      </c>
      <c r="N5" s="7">
        <f>_xlfn.NUMBERVALUE(SUBSTITUTE(SUBSTITUTE(_xlfn.WEBSERVICE(_xlfn.CONCAT("http://172.31.103.65:5000/symbol/",$C5,"/dividendRate/raw")),".",",",1),"-","0", 1))</f>
        <v>6.56</v>
      </c>
      <c r="O5" s="7">
        <f>_xlfn.NUMBERVALUE(SUBSTITUTE(_xlfn.WEBSERVICE(_xlfn.CONCAT("http://172.31.103.65:5000/symbol/",$C5,"/currentPrice/raw")),".",",",1))</f>
        <v>191.22</v>
      </c>
      <c r="P5" s="2">
        <f>N5/O5</f>
        <v>3.4306034933584348E-2</v>
      </c>
    </row>
    <row r="6" spans="1:16" x14ac:dyDescent="0.25">
      <c r="A6">
        <v>3</v>
      </c>
      <c r="B6" t="s">
        <v>22</v>
      </c>
      <c r="C6" t="s">
        <v>25</v>
      </c>
      <c r="D6" t="s">
        <v>26</v>
      </c>
      <c r="E6" s="2">
        <f>_xlfn.NUMBERVALUE(SUBSTITUTE(_xlfn.WEBSERVICE(_xlfn.CONCAT("http://172.31.103.65:5000/symbol/",$C6,"/annualGrowthRatio/raw")),".",",",1))</f>
        <v>0.23879745765808999</v>
      </c>
      <c r="F6" s="2">
        <f>_xlfn.NUMBERVALUE(SUBSTITUTE(_xlfn.WEBSERVICE(_xlfn.CONCAT("http://172.31.103.65:5000/symbol/",$C6,"/debtToEquityPercentage/raw")),".",",",1))/100</f>
        <v>0.27087</v>
      </c>
      <c r="G6" s="2">
        <f>_xlfn.NUMBERVALUE(SUBSTITUTE(_xlfn.WEBSERVICE(_xlfn.CONCAT("http://172.31.103.65:5000/symbol/",$C6,"/ROE/raw")),".",",",1))</f>
        <v>0.29221214098690801</v>
      </c>
      <c r="H6" s="4">
        <f>_xlfn.NUMBERVALUE(SUBSTITUTE(_xlfn.WEBSERVICE(_xlfn.CONCAT("http://172.31.103.65:5000/symbol/",$C6,"/PERatio/raw")),".",",",1))</f>
        <v>16.06148</v>
      </c>
      <c r="I6" s="5">
        <f>_xlfn.NUMBERVALUE(SUBSTITUTE(_xlfn.WEBSERVICE(_xlfn.CONCAT("http://172.31.103.65:5000/symbol/",$C6,"/discountToIntrinsicValueRatio/raw")),".",",",1))</f>
        <v>0.80531538724763296</v>
      </c>
      <c r="J6" t="str">
        <f>_xlfn.WEBSERVICE(_xlfn.CONCAT("http://172.31.103.65:5000/symbol/",$C6,"/recommendationKey/raw"))</f>
        <v>buy</v>
      </c>
      <c r="K6" s="4">
        <f>_xlfn.NUMBERVALUE(_xlfn.WEBSERVICE(_xlfn.CONCAT("http://172.31.103.65:5000/symbol/",$C6,"/overallRisk/raw")))</f>
        <v>7</v>
      </c>
      <c r="L6" s="5">
        <f>_xlfn.NUMBERVALUE(SUBSTITUTE(_xlfn.WEBSERVICE(_xlfn.CONCAT("http://172.31.103.65:5000/symbol/",$C6,"/targetRatio/raw")),".",",",1))</f>
        <v>0.11307554097336101</v>
      </c>
      <c r="M6" t="str">
        <f>_xlfn.WEBSERVICE(_xlfn.CONCAT("http://172.31.103.65:5000/symbol/",$C6,"/exDividendDate/raw"))</f>
        <v>15/07/2025</v>
      </c>
      <c r="N6" s="7">
        <f>_xlfn.NUMBERVALUE(SUBSTITUTE(SUBSTITUTE(_xlfn.WEBSERVICE(_xlfn.CONCAT("http://172.31.103.65:5000/symbol/",$C6,"/dividendRate/raw")),".",",",1),"-","0", 1))</f>
        <v>2.36</v>
      </c>
      <c r="O6" s="7">
        <f>_xlfn.NUMBERVALUE(SUBSTITUTE(_xlfn.WEBSERVICE(_xlfn.CONCAT("http://172.31.103.65:5000/symbol/",$C6,"/currentPrice/raw")),".",",",1))</f>
        <v>128.01</v>
      </c>
      <c r="P6" s="2">
        <f>N6/O6</f>
        <v>1.8436059682837277E-2</v>
      </c>
    </row>
    <row r="7" spans="1:16" x14ac:dyDescent="0.25">
      <c r="A7">
        <v>4</v>
      </c>
      <c r="B7" t="s">
        <v>19</v>
      </c>
      <c r="C7" t="s">
        <v>27</v>
      </c>
      <c r="D7" t="s">
        <v>28</v>
      </c>
      <c r="E7" s="2">
        <f>_xlfn.NUMBERVALUE(SUBSTITUTE(_xlfn.WEBSERVICE(_xlfn.CONCAT("http://172.31.103.65:5000/symbol/",$C7,"/annualGrowthRatio/raw")),".",",",1))</f>
        <v>-0.14149500002066601</v>
      </c>
      <c r="F7" s="2">
        <f>_xlfn.NUMBERVALUE(SUBSTITUTE(_xlfn.WEBSERVICE(_xlfn.CONCAT("http://172.31.103.65:5000/symbol/",$C7,"/debtToEquityPercentage/raw")),".",",",1))/100</f>
        <v>0.25880999999999998</v>
      </c>
      <c r="G7" s="2">
        <f>_xlfn.NUMBERVALUE(SUBSTITUTE(_xlfn.WEBSERVICE(_xlfn.CONCAT("http://172.31.103.65:5000/symbol/",$C7,"/ROE/raw")),".",",",1))</f>
        <v>0.28098802664503603</v>
      </c>
      <c r="H7" s="4">
        <f>_xlfn.NUMBERVALUE(SUBSTITUTE(_xlfn.WEBSERVICE(_xlfn.CONCAT("http://172.31.103.65:5000/symbol/",$C7,"/PERatio/raw")),".",",",1))</f>
        <v>22.170110000000001</v>
      </c>
      <c r="I7" s="5">
        <f>_xlfn.NUMBERVALUE(SUBSTITUTE(_xlfn.WEBSERVICE(_xlfn.CONCAT("http://172.31.103.65:5000/symbol/",$C7,"/discountToIntrinsicValueRatio/raw")),".",",",1))</f>
        <v>0.41503664148394798</v>
      </c>
      <c r="J7" t="str">
        <f>_xlfn.WEBSERVICE(_xlfn.CONCAT("http://172.31.103.65:5000/symbol/",$C7,"/recommendationKey/raw"))</f>
        <v>buy</v>
      </c>
      <c r="K7" s="4">
        <f>_xlfn.NUMBERVALUE(_xlfn.WEBSERVICE(_xlfn.CONCAT("http://172.31.103.65:5000/symbol/",$C7,"/overallRisk/raw")))</f>
        <v>2</v>
      </c>
      <c r="L7" s="5">
        <f>_xlfn.NUMBERVALUE(SUBSTITUTE(_xlfn.WEBSERVICE(_xlfn.CONCAT("http://172.31.103.65:5000/symbol/",$C7,"/targetRatio/raw")),".",",",1))</f>
        <v>0.19910806740767301</v>
      </c>
      <c r="M7" t="str">
        <f>_xlfn.WEBSERVICE(_xlfn.CONCAT("http://172.31.103.65:5000/symbol/",$C7,"/exDividendDate/raw"))</f>
        <v>10/07/2025</v>
      </c>
      <c r="N7" s="7">
        <f>_xlfn.NUMBERVALUE(SUBSTITUTE(SUBSTITUTE(_xlfn.WEBSERVICE(_xlfn.CONCAT("http://172.31.103.65:5000/symbol/",$C7,"/dividendRate/raw")),".",",",1),"-","0", 1))</f>
        <v>5.92</v>
      </c>
      <c r="O7" s="7">
        <f>_xlfn.NUMBERVALUE(SUBSTITUTE(_xlfn.WEBSERVICE(_xlfn.CONCAT("http://172.31.103.65:5000/symbol/",$C7,"/currentPrice/raw")),".",",",1))</f>
        <v>278.89999999999998</v>
      </c>
      <c r="P7" s="2">
        <f>N7/O7</f>
        <v>2.1226245966296166E-2</v>
      </c>
    </row>
    <row r="8" spans="1:16" x14ac:dyDescent="0.25">
      <c r="A8">
        <v>5</v>
      </c>
      <c r="B8" t="s">
        <v>19</v>
      </c>
      <c r="C8" t="s">
        <v>29</v>
      </c>
      <c r="D8" t="s">
        <v>30</v>
      </c>
      <c r="E8" s="2">
        <f>_xlfn.NUMBERVALUE(SUBSTITUTE(_xlfn.WEBSERVICE(_xlfn.CONCAT("http://172.31.103.65:5000/symbol/",$C8,"/annualGrowthRatio/raw")),".",",",1))</f>
        <v>-0.311874691615044</v>
      </c>
      <c r="F8" s="2">
        <f>_xlfn.NUMBERVALUE(SUBSTITUTE(_xlfn.WEBSERVICE(_xlfn.CONCAT("http://172.31.103.65:5000/symbol/",$C8,"/debtToEquityPercentage/raw")),".",",",1))/100</f>
        <v>0.57485999999999993</v>
      </c>
      <c r="G8" s="2">
        <f>_xlfn.NUMBERVALUE(SUBSTITUTE(_xlfn.WEBSERVICE(_xlfn.CONCAT("http://172.31.103.65:5000/symbol/",$C8,"/ROE/raw")),".",",",1))</f>
        <v>0.48699044253810703</v>
      </c>
      <c r="H8" s="4">
        <f>_xlfn.NUMBERVALUE(SUBSTITUTE(_xlfn.WEBSERVICE(_xlfn.CONCAT("http://172.31.103.65:5000/symbol/",$C8,"/PERatio/raw")),".",",",1))</f>
        <v>23.778063</v>
      </c>
      <c r="I8" s="5">
        <f>_xlfn.NUMBERVALUE(SUBSTITUTE(_xlfn.WEBSERVICE(_xlfn.CONCAT("http://172.31.103.65:5000/symbol/",$C8,"/discountToIntrinsicValueRatio/raw")),".",",",1))</f>
        <v>0.30676201571987699</v>
      </c>
      <c r="J8" t="str">
        <f>_xlfn.WEBSERVICE(_xlfn.CONCAT("http://172.31.103.65:5000/symbol/",$C8,"/recommendationKey/raw"))</f>
        <v>buy</v>
      </c>
      <c r="K8" s="4">
        <f>_xlfn.NUMBERVALUE(_xlfn.WEBSERVICE(_xlfn.CONCAT("http://172.31.103.65:5000/symbol/",$C8,"/overallRisk/raw")))</f>
        <v>2</v>
      </c>
      <c r="L8" s="5">
        <f>_xlfn.NUMBERVALUE(SUBSTITUTE(_xlfn.WEBSERVICE(_xlfn.CONCAT("http://172.31.103.65:5000/symbol/",$C8,"/targetRatio/raw")),".",",",1))</f>
        <v>0.29645454545454503</v>
      </c>
      <c r="M8" t="str">
        <f>_xlfn.WEBSERVICE(_xlfn.CONCAT("http://172.31.103.65:5000/symbol/",$C8,"/exDividendDate/raw"))</f>
        <v>24/03/2005</v>
      </c>
      <c r="N8" s="7">
        <f>_xlfn.NUMBERVALUE(SUBSTITUTE(SUBSTITUTE(_xlfn.WEBSERVICE(_xlfn.CONCAT("http://172.31.103.65:5000/symbol/",$C8,"/dividendRate/raw")),".",",",1),"-","0", 1))</f>
        <v>0</v>
      </c>
      <c r="O8" s="7">
        <f>_xlfn.NUMBERVALUE(SUBSTITUTE(_xlfn.WEBSERVICE(_xlfn.CONCAT("http://172.31.103.65:5000/symbol/",$C8,"/currentPrice/raw")),".",",",1))</f>
        <v>370.7</v>
      </c>
      <c r="P8" s="2">
        <f>N8/O8</f>
        <v>0</v>
      </c>
    </row>
    <row r="9" spans="1:16" x14ac:dyDescent="0.25">
      <c r="A9">
        <v>6</v>
      </c>
      <c r="B9" t="s">
        <v>31</v>
      </c>
      <c r="C9" t="s">
        <v>32</v>
      </c>
      <c r="D9" t="s">
        <v>33</v>
      </c>
      <c r="E9" s="2">
        <f>_xlfn.NUMBERVALUE(SUBSTITUTE(_xlfn.WEBSERVICE(_xlfn.CONCAT("http://172.31.103.65:5000/symbol/",$C9,"/annualGrowthRatio/raw")),".",",",1))</f>
        <v>2.01327547039932E-2</v>
      </c>
      <c r="F9" s="2">
        <f>_xlfn.NUMBERVALUE(SUBSTITUTE(_xlfn.WEBSERVICE(_xlfn.CONCAT("http://172.31.103.65:5000/symbol/",$C9,"/debtToEquityPercentage/raw")),".",",",1))/100</f>
        <v>0.21111999999999997</v>
      </c>
      <c r="G9" s="2">
        <f>_xlfn.NUMBERVALUE(SUBSTITUTE(_xlfn.WEBSERVICE(_xlfn.CONCAT("http://172.31.103.65:5000/symbol/",$C9,"/ROE/raw")),".",",",1))</f>
        <v>5.8959104066226099E-2</v>
      </c>
      <c r="H9" s="4">
        <f>_xlfn.NUMBERVALUE(SUBSTITUTE(_xlfn.WEBSERVICE(_xlfn.CONCAT("http://172.31.103.65:5000/symbol/",$C9,"/PERatio/raw")),".",",",1))</f>
        <v>19.248781000000001</v>
      </c>
      <c r="I9" s="5">
        <f>_xlfn.NUMBERVALUE(SUBSTITUTE(_xlfn.WEBSERVICE(_xlfn.CONCAT("http://172.31.103.65:5000/symbol/",$C9,"/discountToIntrinsicValueRatio/raw")),".",",",1))</f>
        <v>1.33130431132194</v>
      </c>
      <c r="J9" t="str">
        <f>_xlfn.WEBSERVICE(_xlfn.CONCAT("http://172.31.103.65:5000/symbol/",$C9,"/recommendationKey/raw"))</f>
        <v>buy</v>
      </c>
      <c r="K9" s="4">
        <f>_xlfn.NUMBERVALUE(_xlfn.WEBSERVICE(_xlfn.CONCAT("http://172.31.103.65:5000/symbol/",$C9,"/overallRisk/raw")))</f>
        <v>9</v>
      </c>
      <c r="L9" s="5">
        <f>_xlfn.NUMBERVALUE(SUBSTITUTE(_xlfn.WEBSERVICE(_xlfn.CONCAT("http://172.31.103.65:5000/symbol/",$C9,"/targetRatio/raw")),".",",",1))</f>
        <v>0.14435504308160099</v>
      </c>
      <c r="M9" t="str">
        <f>_xlfn.WEBSERVICE(_xlfn.CONCAT("http://172.31.103.65:5000/symbol/",$C9,"/exDividendDate/raw"))</f>
        <v>13/06/2025</v>
      </c>
      <c r="N9" s="7">
        <f>_xlfn.NUMBERVALUE(SUBSTITUTE(SUBSTITUTE(_xlfn.WEBSERVICE(_xlfn.CONCAT("http://172.31.103.65:5000/symbol/",$C9,"/dividendRate/raw")),".",",",1),"-","0", 1))</f>
        <v>1.8</v>
      </c>
      <c r="O9" s="7">
        <f>_xlfn.NUMBERVALUE(SUBSTITUTE(_xlfn.WEBSERVICE(_xlfn.CONCAT("http://172.31.103.65:5000/symbol/",$C9,"/currentPrice/raw")),".",",",1))</f>
        <v>78.92</v>
      </c>
      <c r="P9" s="2">
        <f>N9/O9</f>
        <v>2.280790674100355E-2</v>
      </c>
    </row>
    <row r="10" spans="1:16" x14ac:dyDescent="0.25">
      <c r="A10">
        <v>7</v>
      </c>
      <c r="B10" t="s">
        <v>19</v>
      </c>
      <c r="C10" t="s">
        <v>34</v>
      </c>
      <c r="D10" t="s">
        <v>35</v>
      </c>
      <c r="E10" s="2">
        <f>_xlfn.NUMBERVALUE(SUBSTITUTE(_xlfn.WEBSERVICE(_xlfn.CONCAT("http://172.31.103.65:5000/symbol/",$C10,"/annualGrowthRatio/raw")),".",",",1))</f>
        <v>0.28171046569505898</v>
      </c>
      <c r="F10" s="2">
        <f>_xlfn.NUMBERVALUE(SUBSTITUTE(_xlfn.WEBSERVICE(_xlfn.CONCAT("http://172.31.103.65:5000/symbol/",$C10,"/debtToEquityPercentage/raw")),".",",",1))/100</f>
        <v>8.1739999999999993E-2</v>
      </c>
      <c r="G10" s="2">
        <f>_xlfn.NUMBERVALUE(SUBSTITUTE(_xlfn.WEBSERVICE(_xlfn.CONCAT("http://172.31.103.65:5000/symbol/",$C10,"/ROE/raw")),".",",",1))</f>
        <v>3.86846870483602E-2</v>
      </c>
      <c r="H10" s="4">
        <f>_xlfn.NUMBERVALUE(SUBSTITUTE(_xlfn.WEBSERVICE(_xlfn.CONCAT("http://172.31.103.65:5000/symbol/",$C10,"/PERatio/raw")),".",",",1))</f>
        <v>129.51824999999999</v>
      </c>
      <c r="I10" s="5">
        <f>_xlfn.NUMBERVALUE(SUBSTITUTE(_xlfn.WEBSERVICE(_xlfn.CONCAT("http://172.31.103.65:5000/symbol/",$C10,"/discountToIntrinsicValueRatio/raw")),".",",",1))</f>
        <v>0.87768604384249405</v>
      </c>
      <c r="J10" t="str">
        <f>_xlfn.WEBSERVICE(_xlfn.CONCAT("http://172.31.103.65:5000/symbol/",$C10,"/recommendationKey/raw"))</f>
        <v>buy</v>
      </c>
      <c r="K10" s="4">
        <f>_xlfn.NUMBERVALUE(_xlfn.WEBSERVICE(_xlfn.CONCAT("http://172.31.103.65:5000/symbol/",$C10,"/overallRisk/raw")))</f>
        <v>6</v>
      </c>
      <c r="L10" s="5">
        <f>_xlfn.NUMBERVALUE(SUBSTITUTE(_xlfn.WEBSERVICE(_xlfn.CONCAT("http://172.31.103.65:5000/symbol/",$C10,"/targetRatio/raw")),".",",",1))</f>
        <v>-0.14821911632100901</v>
      </c>
      <c r="M10" t="str">
        <f>_xlfn.WEBSERVICE(_xlfn.CONCAT("http://172.31.103.65:5000/symbol/",$C10,"/exDividendDate/raw"))</f>
        <v>27/04/1995</v>
      </c>
      <c r="N10" s="7">
        <f>_xlfn.NUMBERVALUE(SUBSTITUTE(SUBSTITUTE(_xlfn.WEBSERVICE(_xlfn.CONCAT("http://172.31.103.65:5000/symbol/",$C10,"/dividendRate/raw")),".",",",1),"-","0", 1))</f>
        <v>0</v>
      </c>
      <c r="O10" s="7">
        <f>_xlfn.NUMBERVALUE(SUBSTITUTE(_xlfn.WEBSERVICE(_xlfn.CONCAT("http://172.31.103.65:5000/symbol/",$C10,"/currentPrice/raw")),".",",",1))</f>
        <v>177.44</v>
      </c>
      <c r="P10" s="2">
        <f>N10/O10</f>
        <v>0</v>
      </c>
    </row>
    <row r="11" spans="1:16" x14ac:dyDescent="0.25">
      <c r="A11">
        <v>8</v>
      </c>
      <c r="B11" t="s">
        <v>22</v>
      </c>
      <c r="C11" t="s">
        <v>36</v>
      </c>
      <c r="D11" t="s">
        <v>37</v>
      </c>
      <c r="E11" s="2">
        <f>_xlfn.NUMBERVALUE(SUBSTITUTE(_xlfn.WEBSERVICE(_xlfn.CONCAT("http://172.31.103.65:5000/symbol/",$C11,"/annualGrowthRatio/raw")),".",",",1))</f>
        <v>-5.9792586476021099E-2</v>
      </c>
      <c r="F11" s="2">
        <f>_xlfn.NUMBERVALUE(SUBSTITUTE(_xlfn.WEBSERVICE(_xlfn.CONCAT("http://172.31.103.65:5000/symbol/",$C11,"/debtToEquityPercentage/raw")),".",",",1))/100</f>
        <v>9.2445599999999999</v>
      </c>
      <c r="G11" s="2">
        <f>_xlfn.NUMBERVALUE(SUBSTITUTE(_xlfn.WEBSERVICE(_xlfn.CONCAT("http://172.31.103.65:5000/symbol/",$C11,"/ROE/raw")),".",",",1))</f>
        <v>1.0095287037604199</v>
      </c>
      <c r="H11" s="4">
        <f>_xlfn.NUMBERVALUE(SUBSTITUTE(_xlfn.WEBSERVICE(_xlfn.CONCAT("http://172.31.103.65:5000/symbol/",$C11,"/PERatio/raw")),".",",",1))</f>
        <v>27.671831000000001</v>
      </c>
      <c r="I11" s="5">
        <f>_xlfn.NUMBERVALUE(SUBSTITUTE(_xlfn.WEBSERVICE(_xlfn.CONCAT("http://172.31.103.65:5000/symbol/",$C11,"/discountToIntrinsicValueRatio/raw")),".",",",1))</f>
        <v>-2.2555096788031501</v>
      </c>
      <c r="J11" t="str">
        <f>_xlfn.WEBSERVICE(_xlfn.CONCAT("http://172.31.103.65:5000/symbol/",$C11,"/recommendationKey/raw"))</f>
        <v>buy</v>
      </c>
      <c r="K11" s="4">
        <f>_xlfn.NUMBERVALUE(_xlfn.WEBSERVICE(_xlfn.CONCAT("http://172.31.103.65:5000/symbol/",$C11,"/overallRisk/raw")))</f>
        <v>3</v>
      </c>
      <c r="L11" s="5">
        <f>_xlfn.NUMBERVALUE(SUBSTITUTE(_xlfn.WEBSERVICE(_xlfn.CONCAT("http://172.31.103.65:5000/symbol/",$C11,"/targetRatio/raw")),".",",",1))</f>
        <v>3.2683752800105298E-2</v>
      </c>
      <c r="M11" t="str">
        <f>_xlfn.WEBSERVICE(_xlfn.CONCAT("http://172.31.103.65:5000/symbol/",$C11,"/exDividendDate/raw"))</f>
        <v>16/05/2025</v>
      </c>
      <c r="N11" s="7">
        <f>_xlfn.NUMBERVALUE(SUBSTITUTE(SUBSTITUTE(_xlfn.WEBSERVICE(_xlfn.CONCAT("http://172.31.103.65:5000/symbol/",$C11,"/dividendRate/raw")),".",",",1),"-","0", 1))</f>
        <v>9.52</v>
      </c>
      <c r="O11" s="7">
        <f>_xlfn.NUMBERVALUE(SUBSTITUTE(_xlfn.WEBSERVICE(_xlfn.CONCAT("http://172.31.103.65:5000/symbol/",$C11,"/currentPrice/raw")),".",",",1))</f>
        <v>303.56</v>
      </c>
      <c r="P11" s="2">
        <f>N11/O11</f>
        <v>3.1361180656212941E-2</v>
      </c>
    </row>
    <row r="12" spans="1:16" x14ac:dyDescent="0.25">
      <c r="A12">
        <v>9</v>
      </c>
      <c r="B12" t="s">
        <v>4</v>
      </c>
      <c r="C12" t="s">
        <v>38</v>
      </c>
      <c r="D12" t="s">
        <v>39</v>
      </c>
      <c r="E12" s="2">
        <f>_xlfn.NUMBERVALUE(SUBSTITUTE(_xlfn.WEBSERVICE(_xlfn.CONCAT("http://172.31.103.65:5000/symbol/",$C12,"/annualGrowthRatio/raw")),".",",",1))</f>
        <v>-5.9626019002038304E-3</v>
      </c>
      <c r="F12" s="2">
        <f>_xlfn.NUMBERVALUE(SUBSTITUTE(_xlfn.WEBSERVICE(_xlfn.CONCAT("http://172.31.103.65:5000/symbol/",$C12,"/debtToEquityPercentage/raw")),".",",",1))/100</f>
        <v>4.4668099999999997</v>
      </c>
      <c r="G12" s="2">
        <f>_xlfn.NUMBERVALUE(SUBSTITUTE(_xlfn.WEBSERVICE(_xlfn.CONCAT("http://172.31.103.65:5000/symbol/",$C12,"/ROE/raw")),".",",",1))</f>
        <v>0.85633612205073595</v>
      </c>
      <c r="H12" s="4">
        <f>_xlfn.NUMBERVALUE(SUBSTITUTE(_xlfn.WEBSERVICE(_xlfn.CONCAT("http://172.31.103.65:5000/symbol/",$C12,"/PERatio/raw")),".",",",1))</f>
        <v>34.686591999999997</v>
      </c>
      <c r="I12" s="5">
        <f>_xlfn.NUMBERVALUE(SUBSTITUTE(_xlfn.WEBSERVICE(_xlfn.CONCAT("http://172.31.103.65:5000/symbol/",$C12,"/discountToIntrinsicValueRatio/raw")),".",",",1))</f>
        <v>1.4047443556155399</v>
      </c>
      <c r="J12" t="str">
        <f>_xlfn.WEBSERVICE(_xlfn.CONCAT("http://172.31.103.65:5000/symbol/",$C12,"/recommendationKey/raw"))</f>
        <v>buy</v>
      </c>
      <c r="K12" s="4">
        <f>_xlfn.NUMBERVALUE(_xlfn.WEBSERVICE(_xlfn.CONCAT("http://172.31.103.65:5000/symbol/",$C12,"/overallRisk/raw")))</f>
        <v>1</v>
      </c>
      <c r="L12" s="5">
        <f>_xlfn.NUMBERVALUE(SUBSTITUTE(_xlfn.WEBSERVICE(_xlfn.CONCAT("http://172.31.103.65:5000/symbol/",$C12,"/targetRatio/raw")),".",",",1))</f>
        <v>0.164361231428438</v>
      </c>
      <c r="M12" t="str">
        <f>_xlfn.WEBSERVICE(_xlfn.CONCAT("http://172.31.103.65:5000/symbol/",$C12,"/exDividendDate/raw"))</f>
        <v>13/06/2025</v>
      </c>
      <c r="N12" s="7">
        <f>_xlfn.NUMBERVALUE(SUBSTITUTE(SUBSTITUTE(_xlfn.WEBSERVICE(_xlfn.CONCAT("http://172.31.103.65:5000/symbol/",$C12,"/dividendRate/raw")),".",",",1),"-","0", 1))</f>
        <v>6.8</v>
      </c>
      <c r="O12" s="7">
        <f>_xlfn.NUMBERVALUE(SUBSTITUTE(_xlfn.WEBSERVICE(_xlfn.CONCAT("http://172.31.103.65:5000/symbol/",$C12,"/currentPrice/raw")),".",",",1))</f>
        <v>214.71</v>
      </c>
      <c r="P12" s="2">
        <f>N12/O12</f>
        <v>3.167062549485352E-2</v>
      </c>
    </row>
    <row r="13" spans="1:16" x14ac:dyDescent="0.25">
      <c r="A13">
        <v>10</v>
      </c>
      <c r="B13" t="s">
        <v>40</v>
      </c>
      <c r="C13" t="s">
        <v>41</v>
      </c>
      <c r="D13" t="s">
        <v>42</v>
      </c>
      <c r="E13" s="2">
        <f>_xlfn.NUMBERVALUE(SUBSTITUTE(_xlfn.WEBSERVICE(_xlfn.CONCAT("http://172.31.103.65:5000/symbol/",$C13,"/annualGrowthRatio/raw")),".",",",1))</f>
        <v>0.27131138332829302</v>
      </c>
      <c r="F13" s="2">
        <f>_xlfn.NUMBERVALUE(SUBSTITUTE(_xlfn.WEBSERVICE(_xlfn.CONCAT("http://172.31.103.65:5000/symbol/",$C13,"/debtToEquityPercentage/raw")),".",",",1))/100</f>
        <v>0.51641000000000004</v>
      </c>
      <c r="G13" s="2">
        <f>_xlfn.NUMBERVALUE(SUBSTITUTE(_xlfn.WEBSERVICE(_xlfn.CONCAT("http://172.31.103.65:5000/symbol/",$C13,"/ROE/raw")),".",",",1))</f>
        <v>0.23059760976326099</v>
      </c>
      <c r="H13" s="4">
        <f>_xlfn.NUMBERVALUE(SUBSTITUTE(_xlfn.WEBSERVICE(_xlfn.CONCAT("http://172.31.103.65:5000/symbol/",$C13,"/PERatio/raw")),".",",",1))</f>
        <v>37.562600000000003</v>
      </c>
      <c r="I13" s="5">
        <f>_xlfn.NUMBERVALUE(SUBSTITUTE(_xlfn.WEBSERVICE(_xlfn.CONCAT("http://172.31.103.65:5000/symbol/",$C13,"/discountToIntrinsicValueRatio/raw")),".",",",1))</f>
        <v>0.71736191402546001</v>
      </c>
      <c r="J13" t="str">
        <f>_xlfn.WEBSERVICE(_xlfn.CONCAT("http://172.31.103.65:5000/symbol/",$C13,"/recommendationKey/raw"))</f>
        <v>strong_buy</v>
      </c>
      <c r="K13" s="4">
        <f>_xlfn.NUMBERVALUE(_xlfn.WEBSERVICE(_xlfn.CONCAT("http://172.31.103.65:5000/symbol/",$C13,"/overallRisk/raw")))</f>
        <v>9</v>
      </c>
      <c r="L13" s="5">
        <f>_xlfn.NUMBERVALUE(SUBSTITUTE(_xlfn.WEBSERVICE(_xlfn.CONCAT("http://172.31.103.65:5000/symbol/",$C13,"/targetRatio/raw")),".",",",1))</f>
        <v>8.9968659365395401E-2</v>
      </c>
      <c r="M13" t="str">
        <f>_xlfn.WEBSERVICE(_xlfn.CONCAT("http://172.31.103.65:5000/symbol/",$C13,"/exDividendDate/raw"))</f>
        <v>-</v>
      </c>
      <c r="N13" s="7">
        <f>_xlfn.NUMBERVALUE(SUBSTITUTE(SUBSTITUTE(_xlfn.WEBSERVICE(_xlfn.CONCAT("http://172.31.103.65:5000/symbol/",$C13,"/dividendRate/raw")),".",",",1),"-","0", 1))</f>
        <v>0</v>
      </c>
      <c r="O13" s="7">
        <f>_xlfn.NUMBERVALUE(SUBSTITUTE(_xlfn.WEBSERVICE(_xlfn.CONCAT("http://172.31.103.65:5000/symbol/",$C13,"/currentPrice/raw")),".",",",1))</f>
        <v>231.01</v>
      </c>
      <c r="P13" s="2">
        <f>N13/O13</f>
        <v>0</v>
      </c>
    </row>
    <row r="14" spans="1:16" x14ac:dyDescent="0.25">
      <c r="A14">
        <v>11</v>
      </c>
      <c r="B14" t="s">
        <v>19</v>
      </c>
      <c r="C14" t="s">
        <v>43</v>
      </c>
      <c r="D14" t="s">
        <v>44</v>
      </c>
      <c r="E14" s="2">
        <f>_xlfn.NUMBERVALUE(SUBSTITUTE(_xlfn.WEBSERVICE(_xlfn.CONCAT("http://172.31.103.65:5000/symbol/",$C14,"/annualGrowthRatio/raw")),".",",",1))</f>
        <v>1.0959408052649999</v>
      </c>
      <c r="F14" s="2">
        <f>_xlfn.NUMBERVALUE(SUBSTITUTE(_xlfn.WEBSERVICE(_xlfn.CONCAT("http://172.31.103.65:5000/symbol/",$C14,"/debtToEquityPercentage/raw")),".",",",1))/100</f>
        <v>1.66032</v>
      </c>
      <c r="G14" s="2">
        <f>_xlfn.NUMBERVALUE(SUBSTITUTE(_xlfn.WEBSERVICE(_xlfn.CONCAT("http://172.31.103.65:5000/symbol/",$C14,"/ROE/raw")),".",",",1))</f>
        <v>0.19564703354117999</v>
      </c>
      <c r="H14" s="4">
        <f>_xlfn.NUMBERVALUE(SUBSTITUTE(_xlfn.WEBSERVICE(_xlfn.CONCAT("http://172.31.103.65:5000/symbol/",$C14,"/PERatio/raw")),".",",",1))</f>
        <v>108.54745</v>
      </c>
      <c r="I14" s="5">
        <f>_xlfn.NUMBERVALUE(SUBSTITUTE(_xlfn.WEBSERVICE(_xlfn.CONCAT("http://172.31.103.65:5000/symbol/",$C14,"/discountToIntrinsicValueRatio/raw")),".",",",1))</f>
        <v>0.71783871781784603</v>
      </c>
      <c r="J14" t="str">
        <f>_xlfn.WEBSERVICE(_xlfn.CONCAT("http://172.31.103.65:5000/symbol/",$C14,"/recommendationKey/raw"))</f>
        <v>strong_buy</v>
      </c>
      <c r="K14" s="4">
        <f>_xlfn.NUMBERVALUE(_xlfn.WEBSERVICE(_xlfn.CONCAT("http://172.31.103.65:5000/symbol/",$C14,"/overallRisk/raw")))</f>
        <v>2</v>
      </c>
      <c r="L14" s="5">
        <f>_xlfn.NUMBERVALUE(SUBSTITUTE(_xlfn.WEBSERVICE(_xlfn.CONCAT("http://172.31.103.65:5000/symbol/",$C14,"/targetRatio/raw")),".",",",1))</f>
        <v>-1.3311545961939401E-2</v>
      </c>
      <c r="M14" t="str">
        <f>_xlfn.WEBSERVICE(_xlfn.CONCAT("http://172.31.103.65:5000/symbol/",$C14,"/exDividendDate/raw"))</f>
        <v>20/06/2025</v>
      </c>
      <c r="N14" s="7">
        <f>_xlfn.NUMBERVALUE(SUBSTITUTE(SUBSTITUTE(_xlfn.WEBSERVICE(_xlfn.CONCAT("http://172.31.103.65:5000/symbol/",$C14,"/dividendRate/raw")),".",",",1),"-","0", 1))</f>
        <v>2.36</v>
      </c>
      <c r="O14" s="7">
        <f>_xlfn.NUMBERVALUE(SUBSTITUTE(_xlfn.WEBSERVICE(_xlfn.CONCAT("http://172.31.103.65:5000/symbol/",$C14,"/currentPrice/raw")),".",",",1))</f>
        <v>297.42</v>
      </c>
      <c r="P14" s="2">
        <f>N14/O14</f>
        <v>7.9349068657117872E-3</v>
      </c>
    </row>
    <row r="15" spans="1:16" x14ac:dyDescent="0.25">
      <c r="A15">
        <v>12</v>
      </c>
      <c r="B15" t="s">
        <v>31</v>
      </c>
      <c r="C15" t="s">
        <v>45</v>
      </c>
      <c r="D15" t="s">
        <v>46</v>
      </c>
      <c r="E15" s="2">
        <f>_xlfn.NUMBERVALUE(SUBSTITUTE(_xlfn.WEBSERVICE(_xlfn.CONCAT("http://172.31.103.65:5000/symbol/",$C15,"/annualGrowthRatio/raw")),".",",",1))</f>
        <v>0.23529931933682199</v>
      </c>
      <c r="F15" s="2">
        <f>_xlfn.NUMBERVALUE(SUBSTITUTE(_xlfn.WEBSERVICE(_xlfn.CONCAT("http://172.31.103.65:5000/symbol/",$C15,"/debtToEquityPercentage/raw")),".",",",1))/100</f>
        <v>1.8793299999999999</v>
      </c>
      <c r="G15" s="2">
        <f>_xlfn.NUMBERVALUE(SUBSTITUTE(_xlfn.WEBSERVICE(_xlfn.CONCAT("http://172.31.103.65:5000/symbol/",$C15,"/ROE/raw")),".",",",1))</f>
        <v>0.33098732646048101</v>
      </c>
      <c r="H15" s="4">
        <f>_xlfn.NUMBERVALUE(SUBSTITUTE(_xlfn.WEBSERVICE(_xlfn.CONCAT("http://172.31.103.65:5000/symbol/",$C15,"/PERatio/raw")),".",",",1))</f>
        <v>21.682362000000001</v>
      </c>
      <c r="I15" s="5">
        <f>_xlfn.NUMBERVALUE(SUBSTITUTE(_xlfn.WEBSERVICE(_xlfn.CONCAT("http://172.31.103.65:5000/symbol/",$C15,"/discountToIntrinsicValueRatio/raw")),".",",",1))</f>
        <v>-3.2514433742576401</v>
      </c>
      <c r="J15" t="str">
        <f>_xlfn.WEBSERVICE(_xlfn.CONCAT("http://172.31.103.65:5000/symbol/",$C15,"/recommendationKey/raw"))</f>
        <v>buy</v>
      </c>
      <c r="K15" s="4">
        <f>_xlfn.NUMBERVALUE(_xlfn.WEBSERVICE(_xlfn.CONCAT("http://172.31.103.65:5000/symbol/",$C15,"/overallRisk/raw")))</f>
        <v>3</v>
      </c>
      <c r="L15" s="5">
        <f>_xlfn.NUMBERVALUE(SUBSTITUTE(_xlfn.WEBSERVICE(_xlfn.CONCAT("http://172.31.103.65:5000/symbol/",$C15,"/targetRatio/raw")),".",",",1))</f>
        <v>4.4713813443961803E-2</v>
      </c>
      <c r="M15" t="str">
        <f>_xlfn.WEBSERVICE(_xlfn.CONCAT("http://172.31.103.65:5000/symbol/",$C15,"/exDividendDate/raw"))</f>
        <v>03/07/2025</v>
      </c>
      <c r="N15" s="7">
        <f>_xlfn.NUMBERVALUE(SUBSTITUTE(SUBSTITUTE(_xlfn.WEBSERVICE(_xlfn.CONCAT("http://172.31.103.65:5000/symbol/",$C15,"/dividendRate/raw")),".",",",1),"-","0", 1))</f>
        <v>3.28</v>
      </c>
      <c r="O15" s="7">
        <f>_xlfn.NUMBERVALUE(SUBSTITUTE(_xlfn.WEBSERVICE(_xlfn.CONCAT("http://172.31.103.65:5000/symbol/",$C15,"/currentPrice/raw")),".",",",1))</f>
        <v>308.54000000000002</v>
      </c>
      <c r="P15" s="2">
        <f>N15/O15</f>
        <v>1.0630712387372787E-2</v>
      </c>
    </row>
    <row r="16" spans="1:16" x14ac:dyDescent="0.25">
      <c r="A16">
        <v>13</v>
      </c>
      <c r="B16" t="s">
        <v>47</v>
      </c>
      <c r="C16" t="s">
        <v>48</v>
      </c>
      <c r="D16" t="s">
        <v>49</v>
      </c>
      <c r="E16" s="2">
        <f>_xlfn.NUMBERVALUE(SUBSTITUTE(_xlfn.WEBSERVICE(_xlfn.CONCAT("http://172.31.103.65:5000/symbol/",$C16,"/annualGrowthRatio/raw")),".",",",1))</f>
        <v>0.20988975308542099</v>
      </c>
      <c r="F16" s="2" t="e">
        <f>_xlfn.NUMBERVALUE(SUBSTITUTE(_xlfn.WEBSERVICE(_xlfn.CONCAT("http://172.31.103.65:5000/symbol/",$C16,"/debtToEquityPercentage/raw")),".",",",1))/100</f>
        <v>#VALUE!</v>
      </c>
      <c r="G16" s="2">
        <f>_xlfn.NUMBERVALUE(SUBSTITUTE(_xlfn.WEBSERVICE(_xlfn.CONCAT("http://172.31.103.65:5000/symbol/",$C16,"/ROE/raw")),".",",",1))</f>
        <v>2.9823439263050102</v>
      </c>
      <c r="H16" s="4" t="e">
        <f>_xlfn.NUMBERVALUE(SUBSTITUTE(_xlfn.WEBSERVICE(_xlfn.CONCAT("http://172.31.103.65:5000/symbol/",$C16,"/PERatio/raw")),".",",",1))</f>
        <v>#VALUE!</v>
      </c>
      <c r="I16" s="5">
        <f>_xlfn.NUMBERVALUE(SUBSTITUTE(_xlfn.WEBSERVICE(_xlfn.CONCAT("http://172.31.103.65:5000/symbol/",$C16,"/discountToIntrinsicValueRatio/raw")),".",",",1))</f>
        <v>2.4801139153491101</v>
      </c>
      <c r="J16" t="str">
        <f>_xlfn.WEBSERVICE(_xlfn.CONCAT("http://172.31.103.65:5000/symbol/",$C16,"/recommendationKey/raw"))</f>
        <v>buy</v>
      </c>
      <c r="K16" s="4">
        <f>_xlfn.NUMBERVALUE(_xlfn.WEBSERVICE(_xlfn.CONCAT("http://172.31.103.65:5000/symbol/",$C16,"/overallRisk/raw")))</f>
        <v>8</v>
      </c>
      <c r="L16" s="5">
        <f>_xlfn.NUMBERVALUE(SUBSTITUTE(_xlfn.WEBSERVICE(_xlfn.CONCAT("http://172.31.103.65:5000/symbol/",$C16,"/targetRatio/raw")),".",",",1))</f>
        <v>6.2917330148619902E-2</v>
      </c>
      <c r="M16" t="str">
        <f>_xlfn.WEBSERVICE(_xlfn.CONCAT("http://172.31.103.65:5000/symbol/",$C16,"/exDividendDate/raw"))</f>
        <v>13/02/2020</v>
      </c>
      <c r="N16" s="7">
        <f>_xlfn.NUMBERVALUE(SUBSTITUTE(SUBSTITUTE(_xlfn.WEBSERVICE(_xlfn.CONCAT("http://172.31.103.65:5000/symbol/",$C16,"/dividendRate/raw")),".",",",1),"-","0", 1))</f>
        <v>0</v>
      </c>
      <c r="O16" s="7">
        <f>_xlfn.NUMBERVALUE(SUBSTITUTE(_xlfn.WEBSERVICE(_xlfn.CONCAT("http://172.31.103.65:5000/symbol/",$C16,"/currentPrice/raw")),".",",",1))</f>
        <v>226.08</v>
      </c>
      <c r="P16" s="2">
        <f>N16/O16</f>
        <v>0</v>
      </c>
    </row>
    <row r="17" spans="1:16" x14ac:dyDescent="0.25">
      <c r="A17">
        <v>14</v>
      </c>
      <c r="B17" t="s">
        <v>31</v>
      </c>
      <c r="C17" t="s">
        <v>50</v>
      </c>
      <c r="D17" t="s">
        <v>51</v>
      </c>
      <c r="E17" s="2">
        <f>_xlfn.NUMBERVALUE(SUBSTITUTE(_xlfn.WEBSERVICE(_xlfn.CONCAT("http://172.31.103.65:5000/symbol/",$C17,"/annualGrowthRatio/raw")),".",",",1))</f>
        <v>0.190047113153652</v>
      </c>
      <c r="F17" s="2" t="e">
        <f>_xlfn.NUMBERVALUE(SUBSTITUTE(_xlfn.WEBSERVICE(_xlfn.CONCAT("http://172.31.103.65:5000/symbol/",$C17,"/debtToEquityPercentage/raw")),".",",",1))/100</f>
        <v>#VALUE!</v>
      </c>
      <c r="G17" s="2">
        <f>_xlfn.NUMBERVALUE(SUBSTITUTE(_xlfn.WEBSERVICE(_xlfn.CONCAT("http://172.31.103.65:5000/symbol/",$C17,"/ROE/raw")),".",",",1))</f>
        <v>8.9978653656291901E-2</v>
      </c>
      <c r="H17" s="4">
        <f>_xlfn.NUMBERVALUE(SUBSTITUTE(_xlfn.WEBSERVICE(_xlfn.CONCAT("http://172.31.103.65:5000/symbol/",$C17,"/PERatio/raw")),".",",",1))</f>
        <v>14.061583499999999</v>
      </c>
      <c r="I17" s="5">
        <f>_xlfn.NUMBERVALUE(SUBSTITUTE(_xlfn.WEBSERVICE(_xlfn.CONCAT("http://172.31.103.65:5000/symbol/",$C17,"/discountToIntrinsicValueRatio/raw")),".",",",1))</f>
        <v>0.38595704900818201</v>
      </c>
      <c r="J17" t="str">
        <f>_xlfn.WEBSERVICE(_xlfn.CONCAT("http://172.31.103.65:5000/symbol/",$C17,"/recommendationKey/raw"))</f>
        <v>buy</v>
      </c>
      <c r="K17" s="4">
        <f>_xlfn.NUMBERVALUE(_xlfn.WEBSERVICE(_xlfn.CONCAT("http://172.31.103.65:5000/symbol/",$C17,"/overallRisk/raw")))</f>
        <v>8</v>
      </c>
      <c r="L17" s="5">
        <f>_xlfn.NUMBERVALUE(SUBSTITUTE(_xlfn.WEBSERVICE(_xlfn.CONCAT("http://172.31.103.65:5000/symbol/",$C17,"/targetRatio/raw")),".",",",1))</f>
        <v>9.9877580813347203E-2</v>
      </c>
      <c r="M17" t="str">
        <f>_xlfn.WEBSERVICE(_xlfn.CONCAT("http://172.31.103.65:5000/symbol/",$C17,"/exDividendDate/raw"))</f>
        <v>05/09/2025</v>
      </c>
      <c r="N17" s="7">
        <f>_xlfn.NUMBERVALUE(SUBSTITUTE(SUBSTITUTE(_xlfn.WEBSERVICE(_xlfn.CONCAT("http://172.31.103.65:5000/symbol/",$C17,"/dividendRate/raw")),".",",",1),"-","0", 1))</f>
        <v>1.1200000000000001</v>
      </c>
      <c r="O17" s="7">
        <f>_xlfn.NUMBERVALUE(SUBSTITUTE(_xlfn.WEBSERVICE(_xlfn.CONCAT("http://172.31.103.65:5000/symbol/",$C17,"/currentPrice/raw")),".",",",1))</f>
        <v>47.95</v>
      </c>
      <c r="P17" s="2">
        <f>N17/O17</f>
        <v>2.3357664233576644E-2</v>
      </c>
    </row>
    <row r="18" spans="1:16" x14ac:dyDescent="0.25">
      <c r="A18">
        <v>15</v>
      </c>
      <c r="B18" t="s">
        <v>31</v>
      </c>
      <c r="C18" t="s">
        <v>52</v>
      </c>
      <c r="D18" t="s">
        <v>53</v>
      </c>
      <c r="E18" s="2">
        <f>_xlfn.NUMBERVALUE(SUBSTITUTE(_xlfn.WEBSERVICE(_xlfn.CONCAT("http://172.31.103.65:5000/symbol/",$C18,"/annualGrowthRatio/raw")),".",",",1))</f>
        <v>0.59800945606983502</v>
      </c>
      <c r="F18" s="2" t="e">
        <f>_xlfn.NUMBERVALUE(SUBSTITUTE(_xlfn.WEBSERVICE(_xlfn.CONCAT("http://172.31.103.65:5000/symbol/",$C18,"/debtToEquityPercentage/raw")),".",",",1))/100</f>
        <v>#VALUE!</v>
      </c>
      <c r="G18" s="2">
        <f>_xlfn.NUMBERVALUE(SUBSTITUTE(_xlfn.WEBSERVICE(_xlfn.CONCAT("http://172.31.103.65:5000/symbol/",$C18,"/ROE/raw")),".",",",1))</f>
        <v>0.11568808403117201</v>
      </c>
      <c r="H18" s="4">
        <f>_xlfn.NUMBERVALUE(SUBSTITUTE(_xlfn.WEBSERVICE(_xlfn.CONCAT("http://172.31.103.65:5000/symbol/",$C18,"/PERatio/raw")),".",",",1))</f>
        <v>15.576453000000001</v>
      </c>
      <c r="I18" s="5">
        <f>_xlfn.NUMBERVALUE(SUBSTITUTE(_xlfn.WEBSERVICE(_xlfn.CONCAT("http://172.31.103.65:5000/symbol/",$C18,"/discountToIntrinsicValueRatio/raw")),".",",",1))</f>
        <v>0.75077675840978597</v>
      </c>
      <c r="J18" t="str">
        <f>_xlfn.WEBSERVICE(_xlfn.CONCAT("http://172.31.103.65:5000/symbol/",$C18,"/recommendationKey/raw"))</f>
        <v>buy</v>
      </c>
      <c r="K18" s="4">
        <f>_xlfn.NUMBERVALUE(_xlfn.WEBSERVICE(_xlfn.CONCAT("http://172.31.103.65:5000/symbol/",$C18,"/overallRisk/raw")))</f>
        <v>1</v>
      </c>
      <c r="L18" s="5">
        <f>_xlfn.NUMBERVALUE(SUBSTITUTE(_xlfn.WEBSERVICE(_xlfn.CONCAT("http://172.31.103.65:5000/symbol/",$C18,"/targetRatio/raw")),".",",",1))</f>
        <v>-1.48508883871601E-2</v>
      </c>
      <c r="M18" t="str">
        <f>_xlfn.WEBSERVICE(_xlfn.CONCAT("http://172.31.103.65:5000/symbol/",$C18,"/exDividendDate/raw"))</f>
        <v>25/07/2025</v>
      </c>
      <c r="N18" s="7">
        <f>_xlfn.NUMBERVALUE(SUBSTITUTE(SUBSTITUTE(_xlfn.WEBSERVICE(_xlfn.CONCAT("http://172.31.103.65:5000/symbol/",$C18,"/dividendRate/raw")),".",",",1),"-","0", 1))</f>
        <v>2.12</v>
      </c>
      <c r="O18" s="7">
        <f>_xlfn.NUMBERVALUE(SUBSTITUTE(_xlfn.WEBSERVICE(_xlfn.CONCAT("http://172.31.103.65:5000/symbol/",$C18,"/currentPrice/raw")),".",",",1))</f>
        <v>101.87</v>
      </c>
      <c r="P18" s="2">
        <f>N18/O18</f>
        <v>2.0810837341710024E-2</v>
      </c>
    </row>
    <row r="19" spans="1:16" x14ac:dyDescent="0.25">
      <c r="A19">
        <v>16</v>
      </c>
      <c r="B19" t="s">
        <v>40</v>
      </c>
      <c r="C19" t="s">
        <v>54</v>
      </c>
      <c r="D19" t="s">
        <v>55</v>
      </c>
      <c r="E19" s="2">
        <f>_xlfn.NUMBERVALUE(SUBSTITUTE(_xlfn.WEBSERVICE(_xlfn.CONCAT("http://172.31.103.65:5000/symbol/",$C19,"/annualGrowthRatio/raw")),".",",",1))</f>
        <v>0.514175315837332</v>
      </c>
      <c r="F19" s="2" t="e">
        <f>_xlfn.NUMBERVALUE(SUBSTITUTE(_xlfn.WEBSERVICE(_xlfn.CONCAT("http://172.31.103.65:5000/symbol/",$C19,"/debtToEquityPercentage/raw")),".",",",1))/100</f>
        <v>#VALUE!</v>
      </c>
      <c r="G19" s="2">
        <f>_xlfn.NUMBERVALUE(SUBSTITUTE(_xlfn.WEBSERVICE(_xlfn.CONCAT("http://172.31.103.65:5000/symbol/",$C19,"/ROE/raw")),".",",",1))</f>
        <v>-1.35298509054726</v>
      </c>
      <c r="H19" s="4">
        <f>_xlfn.NUMBERVALUE(SUBSTITUTE(_xlfn.WEBSERVICE(_xlfn.CONCAT("http://172.31.103.65:5000/symbol/",$C19,"/PERatio/raw")),".",",",1))</f>
        <v>34.911766</v>
      </c>
      <c r="I19" s="5">
        <f>_xlfn.NUMBERVALUE(SUBSTITUTE(_xlfn.WEBSERVICE(_xlfn.CONCAT("http://172.31.103.65:5000/symbol/",$C19,"/discountToIntrinsicValueRatio/raw")),".",",",1))</f>
        <v>1.34395827296435</v>
      </c>
      <c r="J19" t="str">
        <f>_xlfn.WEBSERVICE(_xlfn.CONCAT("http://172.31.103.65:5000/symbol/",$C19,"/recommendationKey/raw"))</f>
        <v>buy</v>
      </c>
      <c r="K19" s="4">
        <f>_xlfn.NUMBERVALUE(_xlfn.WEBSERVICE(_xlfn.CONCAT("http://172.31.103.65:5000/symbol/",$C19,"/overallRisk/raw")))</f>
        <v>1</v>
      </c>
      <c r="L19" s="5">
        <f>_xlfn.NUMBERVALUE(SUBSTITUTE(_xlfn.WEBSERVICE(_xlfn.CONCAT("http://172.31.103.65:5000/symbol/",$C19,"/targetRatio/raw")),".",",",1))</f>
        <v>4.8603322976978003E-2</v>
      </c>
      <c r="M19" t="str">
        <f>_xlfn.WEBSERVICE(_xlfn.CONCAT("http://172.31.103.65:5000/symbol/",$C19,"/exDividendDate/raw"))</f>
        <v>06/06/2025</v>
      </c>
      <c r="N19" s="7">
        <f>_xlfn.NUMBERVALUE(SUBSTITUTE(SUBSTITUTE(_xlfn.WEBSERVICE(_xlfn.CONCAT("http://172.31.103.65:5000/symbol/",$C19,"/dividendRate/raw")),".",",",1),"-","0", 1))</f>
        <v>38.4</v>
      </c>
      <c r="O19" s="7">
        <f>_xlfn.NUMBERVALUE(SUBSTITUTE(_xlfn.WEBSERVICE(_xlfn.CONCAT("http://172.31.103.65:5000/symbol/",$C19,"/currentPrice/raw")),".",",",1))</f>
        <v>5590.77</v>
      </c>
      <c r="P19" s="2">
        <f>N19/O19</f>
        <v>6.8684635568982437E-3</v>
      </c>
    </row>
    <row r="20" spans="1:16" x14ac:dyDescent="0.25">
      <c r="A20">
        <v>17</v>
      </c>
      <c r="B20" t="s">
        <v>31</v>
      </c>
      <c r="C20" t="s">
        <v>56</v>
      </c>
      <c r="D20" t="s">
        <v>57</v>
      </c>
      <c r="E20" s="2">
        <f>_xlfn.NUMBERVALUE(SUBSTITUTE(_xlfn.WEBSERVICE(_xlfn.CONCAT("http://172.31.103.65:5000/symbol/",$C20,"/annualGrowthRatio/raw")),".",",",1))</f>
        <v>0.313308090384603</v>
      </c>
      <c r="F20" s="2">
        <f>_xlfn.NUMBERVALUE(SUBSTITUTE(_xlfn.WEBSERVICE(_xlfn.CONCAT("http://172.31.103.65:5000/symbol/",$C20,"/debtToEquityPercentage/raw")),".",",",1))/100</f>
        <v>0.28410000000000002</v>
      </c>
      <c r="G20" s="2">
        <f>_xlfn.NUMBERVALUE(SUBSTITUTE(_xlfn.WEBSERVICE(_xlfn.CONCAT("http://172.31.103.65:5000/symbol/",$C20,"/ROE/raw")),".",",",1))</f>
        <v>0.13483524042530701</v>
      </c>
      <c r="H20" s="4">
        <f>_xlfn.NUMBERVALUE(SUBSTITUTE(_xlfn.WEBSERVICE(_xlfn.CONCAT("http://172.31.103.65:5000/symbol/",$C20,"/PERatio/raw")),".",",",1))</f>
        <v>27.116296999999999</v>
      </c>
      <c r="I20" s="5">
        <f>_xlfn.NUMBERVALUE(SUBSTITUTE(_xlfn.WEBSERVICE(_xlfn.CONCAT("http://172.31.103.65:5000/symbol/",$C20,"/discountToIntrinsicValueRatio/raw")),".",",",1))</f>
        <v>-1.1693036750483501</v>
      </c>
      <c r="J20" t="str">
        <f>_xlfn.WEBSERVICE(_xlfn.CONCAT("http://172.31.103.65:5000/symbol/",$C20,"/recommendationKey/raw"))</f>
        <v>buy</v>
      </c>
      <c r="K20" s="4">
        <f>_xlfn.NUMBERVALUE(_xlfn.WEBSERVICE(_xlfn.CONCAT("http://172.31.103.65:5000/symbol/",$C20,"/overallRisk/raw")))</f>
        <v>3</v>
      </c>
      <c r="L20" s="5">
        <f>_xlfn.NUMBERVALUE(SUBSTITUTE(_xlfn.WEBSERVICE(_xlfn.CONCAT("http://172.31.103.65:5000/symbol/",$C20,"/targetRatio/raw")),".",",",1))</f>
        <v>3.9523864720515597E-2</v>
      </c>
      <c r="M20" t="str">
        <f>_xlfn.WEBSERVICE(_xlfn.CONCAT("http://172.31.103.65:5000/symbol/",$C20,"/exDividendDate/raw"))</f>
        <v>05/09/2025</v>
      </c>
      <c r="N20" s="7">
        <f>_xlfn.NUMBERVALUE(SUBSTITUTE(SUBSTITUTE(_xlfn.WEBSERVICE(_xlfn.CONCAT("http://172.31.103.65:5000/symbol/",$C20,"/dividendRate/raw")),".",",",1),"-","0", 1))</f>
        <v>20.84</v>
      </c>
      <c r="O20" s="7">
        <f>_xlfn.NUMBERVALUE(SUBSTITUTE(_xlfn.WEBSERVICE(_xlfn.CONCAT("http://172.31.103.65:5000/symbol/",$C20,"/currentPrice/raw")),".",",",1))</f>
        <v>1121.53</v>
      </c>
      <c r="P20" s="2">
        <f>N20/O20</f>
        <v>1.8581758847288972E-2</v>
      </c>
    </row>
    <row r="21" spans="1:16" x14ac:dyDescent="0.25">
      <c r="A21">
        <v>18</v>
      </c>
      <c r="B21" t="s">
        <v>22</v>
      </c>
      <c r="C21" t="s">
        <v>58</v>
      </c>
      <c r="D21" t="s">
        <v>59</v>
      </c>
      <c r="E21" s="2">
        <f>_xlfn.NUMBERVALUE(SUBSTITUTE(_xlfn.WEBSERVICE(_xlfn.CONCAT("http://172.31.103.65:5000/symbol/",$C21,"/annualGrowthRatio/raw")),".",",",1))</f>
        <v>3.1692053924958801E-4</v>
      </c>
      <c r="F21" s="2">
        <f>_xlfn.NUMBERVALUE(SUBSTITUTE(_xlfn.WEBSERVICE(_xlfn.CONCAT("http://172.31.103.65:5000/symbol/",$C21,"/debtToEquityPercentage/raw")),".",",",1))/100</f>
        <v>2.9385000000000003</v>
      </c>
      <c r="G21" s="2">
        <f>_xlfn.NUMBERVALUE(SUBSTITUTE(_xlfn.WEBSERVICE(_xlfn.CONCAT("http://172.31.103.65:5000/symbol/",$C21,"/ROE/raw")),".",",",1))</f>
        <v>0.331741647260483</v>
      </c>
      <c r="H21" s="4">
        <f>_xlfn.NUMBERVALUE(SUBSTITUTE(_xlfn.WEBSERVICE(_xlfn.CONCAT("http://172.31.103.65:5000/symbol/",$C21,"/PERatio/raw")),".",",",1))</f>
        <v>17.485074999999998</v>
      </c>
      <c r="I21" s="5">
        <f>_xlfn.NUMBERVALUE(SUBSTITUTE(_xlfn.WEBSERVICE(_xlfn.CONCAT("http://172.31.103.65:5000/symbol/",$C21,"/discountToIntrinsicValueRatio/raw")),".",",",1))</f>
        <v>-1.0570676031606601</v>
      </c>
      <c r="J21" t="str">
        <f>_xlfn.WEBSERVICE(_xlfn.CONCAT("http://172.31.103.65:5000/symbol/",$C21,"/recommendationKey/raw"))</f>
        <v>hold</v>
      </c>
      <c r="K21" s="4">
        <f>_xlfn.NUMBERVALUE(_xlfn.WEBSERVICE(_xlfn.CONCAT("http://172.31.103.65:5000/symbol/",$C21,"/overallRisk/raw")))</f>
        <v>2</v>
      </c>
      <c r="L21" s="5">
        <f>_xlfn.NUMBERVALUE(SUBSTITUTE(_xlfn.WEBSERVICE(_xlfn.CONCAT("http://172.31.103.65:5000/symbol/",$C21,"/targetRatio/raw")),".",",",1))</f>
        <v>0.19403286384976501</v>
      </c>
      <c r="M21" t="str">
        <f>_xlfn.WEBSERVICE(_xlfn.CONCAT("http://172.31.103.65:5000/symbol/",$C21,"/exDividendDate/raw"))</f>
        <v>03/07/2025</v>
      </c>
      <c r="N21" s="7">
        <f>_xlfn.NUMBERVALUE(SUBSTITUTE(SUBSTITUTE(_xlfn.WEBSERVICE(_xlfn.CONCAT("http://172.31.103.65:5000/symbol/",$C21,"/dividendRate/raw")),".",",",1),"-","0", 1))</f>
        <v>2.48</v>
      </c>
      <c r="O21" s="7">
        <f>_xlfn.NUMBERVALUE(SUBSTITUTE(_xlfn.WEBSERVICE(_xlfn.CONCAT("http://172.31.103.65:5000/symbol/",$C21,"/currentPrice/raw")),".",",",1))</f>
        <v>46.86</v>
      </c>
      <c r="P21" s="2">
        <f>N21/O21</f>
        <v>5.2923602219376871E-2</v>
      </c>
    </row>
    <row r="22" spans="1:16" x14ac:dyDescent="0.25">
      <c r="A22">
        <v>19</v>
      </c>
      <c r="B22" t="s">
        <v>31</v>
      </c>
      <c r="C22" t="s">
        <v>228</v>
      </c>
      <c r="D22" t="s">
        <v>60</v>
      </c>
      <c r="E22" s="2">
        <f>_xlfn.NUMBERVALUE(SUBSTITUTE(_xlfn.WEBSERVICE(_xlfn.CONCAT("http://172.31.103.65:5000/symbol/",$C22,"/annualGrowthRatio/raw")),".",",",1))</f>
        <v>7.9998163108242107E-2</v>
      </c>
      <c r="F22" s="2">
        <f>_xlfn.NUMBERVALUE(SUBSTITUTE(_xlfn.WEBSERVICE(_xlfn.CONCAT("http://172.31.103.65:5000/symbol/",$C22,"/debtToEquityPercentage/raw")),".",",",1))/100</f>
        <v>0.19175</v>
      </c>
      <c r="G22" s="2">
        <f>_xlfn.NUMBERVALUE(SUBSTITUTE(_xlfn.WEBSERVICE(_xlfn.CONCAT("http://172.31.103.65:5000/symbol/",$C22,"/ROE/raw")),".",",",1))</f>
        <v>0.12457651131561701</v>
      </c>
      <c r="H22" s="4">
        <f>_xlfn.NUMBERVALUE(SUBSTITUTE(_xlfn.WEBSERVICE(_xlfn.CONCAT("http://172.31.103.65:5000/symbol/",$C22,"/PERatio/raw")),".",",",1))</f>
        <v>12.701492</v>
      </c>
      <c r="I22" s="5">
        <f>_xlfn.NUMBERVALUE(SUBSTITUTE(_xlfn.WEBSERVICE(_xlfn.CONCAT("http://172.31.103.65:5000/symbol/",$C22,"/discountToIntrinsicValueRatio/raw")),".",",",1))</f>
        <v>1.10682500031382</v>
      </c>
      <c r="J22" t="str">
        <f>_xlfn.WEBSERVICE(_xlfn.CONCAT("http://172.31.103.65:5000/symbol/",$C22,"/recommendationKey/raw"))</f>
        <v>buy</v>
      </c>
      <c r="K22" s="4">
        <f>_xlfn.NUMBERVALUE(_xlfn.WEBSERVICE(_xlfn.CONCAT("http://172.31.103.65:5000/symbol/",$C22,"/overallRisk/raw")))</f>
        <v>10</v>
      </c>
      <c r="L22" s="5">
        <f>_xlfn.NUMBERVALUE(SUBSTITUTE(_xlfn.WEBSERVICE(_xlfn.CONCAT("http://172.31.103.65:5000/symbol/",$C22,"/targetRatio/raw")),".",",",1))</f>
        <v>9.6049395668960896E-2</v>
      </c>
      <c r="M22" t="str">
        <f>_xlfn.WEBSERVICE(_xlfn.CONCAT("http://172.31.103.65:5000/symbol/",$C22,"/exDividendDate/raw"))</f>
        <v>-</v>
      </c>
      <c r="N22" s="7">
        <f>_xlfn.NUMBERVALUE(SUBSTITUTE(SUBSTITUTE(_xlfn.WEBSERVICE(_xlfn.CONCAT("http://172.31.103.65:5000/symbol/",$C22,"/dividendRate/raw")),".",",",1),"-","0", 1))</f>
        <v>0</v>
      </c>
      <c r="O22" s="7">
        <f>_xlfn.NUMBERVALUE(SUBSTITUTE(_xlfn.WEBSERVICE(_xlfn.CONCAT("http://172.31.103.65:5000/symbol/",$C22,"/currentPrice/raw")),".",",",1))</f>
        <v>476.56</v>
      </c>
      <c r="P22" s="2">
        <f>N22/O22</f>
        <v>0</v>
      </c>
    </row>
    <row r="23" spans="1:16" x14ac:dyDescent="0.25">
      <c r="A23">
        <v>20</v>
      </c>
      <c r="B23" t="s">
        <v>31</v>
      </c>
      <c r="C23" t="s">
        <v>61</v>
      </c>
      <c r="D23" t="s">
        <v>62</v>
      </c>
      <c r="E23" s="2">
        <f>_xlfn.NUMBERVALUE(SUBSTITUTE(_xlfn.WEBSERVICE(_xlfn.CONCAT("http://172.31.103.65:5000/symbol/",$C23,"/annualGrowthRatio/raw")),".",",",1))</f>
        <v>0.48286389261989199</v>
      </c>
      <c r="F23" s="2" t="e">
        <f>_xlfn.NUMBERVALUE(SUBSTITUTE(_xlfn.WEBSERVICE(_xlfn.CONCAT("http://172.31.103.65:5000/symbol/",$C23,"/debtToEquityPercentage/raw")),".",",",1))/100</f>
        <v>#VALUE!</v>
      </c>
      <c r="G23" s="2">
        <f>_xlfn.NUMBERVALUE(SUBSTITUTE(_xlfn.WEBSERVICE(_xlfn.CONCAT("http://172.31.103.65:5000/symbol/",$C23,"/ROE/raw")),".",",",1))</f>
        <v>6.1860609823679899E-2</v>
      </c>
      <c r="H23" s="4">
        <f>_xlfn.NUMBERVALUE(SUBSTITUTE(_xlfn.WEBSERVICE(_xlfn.CONCAT("http://172.31.103.65:5000/symbol/",$C23,"/PERatio/raw")),".",",",1))</f>
        <v>13.9556875</v>
      </c>
      <c r="I23" s="5">
        <f>_xlfn.NUMBERVALUE(SUBSTITUTE(_xlfn.WEBSERVICE(_xlfn.CONCAT("http://172.31.103.65:5000/symbol/",$C23,"/discountToIntrinsicValueRatio/raw")),".",",",1))</f>
        <v>0.78693607856844805</v>
      </c>
      <c r="J23" t="str">
        <f>_xlfn.WEBSERVICE(_xlfn.CONCAT("http://172.31.103.65:5000/symbol/",$C23,"/recommendationKey/raw"))</f>
        <v>buy</v>
      </c>
      <c r="K23" s="4">
        <f>_xlfn.NUMBERVALUE(_xlfn.WEBSERVICE(_xlfn.CONCAT("http://172.31.103.65:5000/symbol/",$C23,"/overallRisk/raw")))</f>
        <v>2</v>
      </c>
      <c r="L23" s="5">
        <f>_xlfn.NUMBERVALUE(SUBSTITUTE(_xlfn.WEBSERVICE(_xlfn.CONCAT("http://172.31.103.65:5000/symbol/",$C23,"/targetRatio/raw")),".",",",1))</f>
        <v>5.2628916172734901E-2</v>
      </c>
      <c r="M23" t="str">
        <f>_xlfn.WEBSERVICE(_xlfn.CONCAT("http://172.31.103.65:5000/symbol/",$C23,"/exDividendDate/raw"))</f>
        <v>04/08/2025</v>
      </c>
      <c r="N23" s="7">
        <f>_xlfn.NUMBERVALUE(SUBSTITUTE(SUBSTITUTE(_xlfn.WEBSERVICE(_xlfn.CONCAT("http://172.31.103.65:5000/symbol/",$C23,"/dividendRate/raw")),".",",",1),"-","0", 1))</f>
        <v>2.4</v>
      </c>
      <c r="O23" s="7">
        <f>_xlfn.NUMBERVALUE(SUBSTITUTE(_xlfn.WEBSERVICE(_xlfn.CONCAT("http://172.31.103.65:5000/symbol/",$C23,"/currentPrice/raw")),".",",",1))</f>
        <v>94.48</v>
      </c>
      <c r="P23" s="2">
        <f>N23/O23</f>
        <v>2.5402201524132091E-2</v>
      </c>
    </row>
    <row r="24" spans="1:16" x14ac:dyDescent="0.25">
      <c r="A24">
        <v>21</v>
      </c>
      <c r="B24" t="s">
        <v>47</v>
      </c>
      <c r="C24" t="s">
        <v>63</v>
      </c>
      <c r="D24" t="s">
        <v>64</v>
      </c>
      <c r="E24" s="2">
        <f>_xlfn.NUMBERVALUE(SUBSTITUTE(_xlfn.WEBSERVICE(_xlfn.CONCAT("http://172.31.103.65:5000/symbol/",$C24,"/annualGrowthRatio/raw")),".",",",1))</f>
        <v>0.27840786588685401</v>
      </c>
      <c r="F24" s="2">
        <f>_xlfn.NUMBERVALUE(SUBSTITUTE(_xlfn.WEBSERVICE(_xlfn.CONCAT("http://172.31.103.65:5000/symbol/",$C24,"/debtToEquityPercentage/raw")),".",",",1))/100</f>
        <v>2.1354699999999998</v>
      </c>
      <c r="G24" s="2">
        <f>_xlfn.NUMBERVALUE(SUBSTITUTE(_xlfn.WEBSERVICE(_xlfn.CONCAT("http://172.31.103.65:5000/symbol/",$C24,"/ROE/raw")),".",",",1))</f>
        <v>0.50992767533733496</v>
      </c>
      <c r="H24" s="4">
        <f>_xlfn.NUMBERVALUE(SUBSTITUTE(_xlfn.WEBSERVICE(_xlfn.CONCAT("http://172.31.103.65:5000/symbol/",$C24,"/PERatio/raw")),".",",",1))</f>
        <v>20.957602000000001</v>
      </c>
      <c r="I24" s="5">
        <f>_xlfn.NUMBERVALUE(SUBSTITUTE(_xlfn.WEBSERVICE(_xlfn.CONCAT("http://172.31.103.65:5000/symbol/",$C24,"/discountToIntrinsicValueRatio/raw")),".",",",1))</f>
        <v>1.46060664481717</v>
      </c>
      <c r="J24" t="str">
        <f>_xlfn.WEBSERVICE(_xlfn.CONCAT("http://172.31.103.65:5000/symbol/",$C24,"/recommendationKey/raw"))</f>
        <v>buy</v>
      </c>
      <c r="K24" s="4">
        <f>_xlfn.NUMBERVALUE(_xlfn.WEBSERVICE(_xlfn.CONCAT("http://172.31.103.65:5000/symbol/",$C24,"/overallRisk/raw")))</f>
        <v>4</v>
      </c>
      <c r="L24" s="5">
        <f>_xlfn.NUMBERVALUE(SUBSTITUTE(_xlfn.WEBSERVICE(_xlfn.CONCAT("http://172.31.103.65:5000/symbol/",$C24,"/targetRatio/raw")),".",",",1))</f>
        <v>-6.2597372398558296E-2</v>
      </c>
      <c r="M24" t="str">
        <f>_xlfn.WEBSERVICE(_xlfn.CONCAT("http://172.31.103.65:5000/symbol/",$C24,"/exDividendDate/raw"))</f>
        <v>21/07/2025</v>
      </c>
      <c r="N24" s="7">
        <f>_xlfn.NUMBERVALUE(SUBSTITUTE(SUBSTITUTE(_xlfn.WEBSERVICE(_xlfn.CONCAT("http://172.31.103.65:5000/symbol/",$C24,"/dividendRate/raw")),".",",",1),"-","0", 1))</f>
        <v>6.04</v>
      </c>
      <c r="O24" s="7">
        <f>_xlfn.NUMBERVALUE(SUBSTITUTE(_xlfn.WEBSERVICE(_xlfn.CONCAT("http://172.31.103.65:5000/symbol/",$C24,"/currentPrice/raw")),".",",",1))</f>
        <v>430.05</v>
      </c>
      <c r="P24" s="2">
        <f>N24/O24</f>
        <v>1.4044878502499709E-2</v>
      </c>
    </row>
    <row r="25" spans="1:16" x14ac:dyDescent="0.25">
      <c r="A25">
        <v>22</v>
      </c>
      <c r="B25" t="s">
        <v>65</v>
      </c>
      <c r="C25" t="s">
        <v>66</v>
      </c>
      <c r="D25" t="s">
        <v>67</v>
      </c>
      <c r="E25" s="2">
        <f>_xlfn.NUMBERVALUE(SUBSTITUTE(_xlfn.WEBSERVICE(_xlfn.CONCAT("http://172.31.103.65:5000/symbol/",$C25,"/annualGrowthRatio/raw")),".",",",1))</f>
        <v>-0.26728797704477802</v>
      </c>
      <c r="F25" s="2">
        <f>_xlfn.NUMBERVALUE(SUBSTITUTE(_xlfn.WEBSERVICE(_xlfn.CONCAT("http://172.31.103.65:5000/symbol/",$C25,"/debtToEquityPercentage/raw")),".",",",1))/100</f>
        <v>4.7271700000000001</v>
      </c>
      <c r="G25" s="2">
        <f>_xlfn.NUMBERVALUE(SUBSTITUTE(_xlfn.WEBSERVICE(_xlfn.CONCAT("http://172.31.103.65:5000/symbol/",$C25,"/ROE/raw")),".",",",1))</f>
        <v>0.337717328543016</v>
      </c>
      <c r="H25" s="4">
        <f>_xlfn.NUMBERVALUE(SUBSTITUTE(_xlfn.WEBSERVICE(_xlfn.CONCAT("http://172.31.103.65:5000/symbol/",$C25,"/PERatio/raw")),".",",",1))</f>
        <v>7.6814445999999998</v>
      </c>
      <c r="I25" s="5">
        <f>_xlfn.NUMBERVALUE(SUBSTITUTE(_xlfn.WEBSERVICE(_xlfn.CONCAT("http://172.31.103.65:5000/symbol/",$C25,"/discountToIntrinsicValueRatio/raw")),".",",",1))</f>
        <v>0.68901032421903496</v>
      </c>
      <c r="J25" t="str">
        <f>_xlfn.WEBSERVICE(_xlfn.CONCAT("http://172.31.103.65:5000/symbol/",$C25,"/recommendationKey/raw"))</f>
        <v>buy</v>
      </c>
      <c r="K25" s="4">
        <f>_xlfn.NUMBERVALUE(_xlfn.WEBSERVICE(_xlfn.CONCAT("http://172.31.103.65:5000/symbol/",$C25,"/overallRisk/raw")))</f>
        <v>9</v>
      </c>
      <c r="L25" s="5">
        <f>_xlfn.NUMBERVALUE(SUBSTITUTE(_xlfn.WEBSERVICE(_xlfn.CONCAT("http://172.31.103.65:5000/symbol/",$C25,"/targetRatio/raw")),".",",",1))</f>
        <v>0.454737779677925</v>
      </c>
      <c r="M25" t="str">
        <f>_xlfn.WEBSERVICE(_xlfn.CONCAT("http://172.31.103.65:5000/symbol/",$C25,"/exDividendDate/raw"))</f>
        <v>-</v>
      </c>
      <c r="N25" s="7">
        <f>_xlfn.NUMBERVALUE(SUBSTITUTE(SUBSTITUTE(_xlfn.WEBSERVICE(_xlfn.CONCAT("http://172.31.103.65:5000/symbol/",$C25,"/dividendRate/raw")),".",",",1),"-","0", 1))</f>
        <v>0</v>
      </c>
      <c r="O25" s="7">
        <f>_xlfn.NUMBERVALUE(SUBSTITUTE(_xlfn.WEBSERVICE(_xlfn.CONCAT("http://172.31.103.65:5000/symbol/",$C25,"/currentPrice/raw")),".",",",1))</f>
        <v>280.68</v>
      </c>
      <c r="P25" s="2">
        <f>N25/O25</f>
        <v>0</v>
      </c>
    </row>
    <row r="26" spans="1:16" x14ac:dyDescent="0.25">
      <c r="A26">
        <v>23</v>
      </c>
      <c r="B26" t="s">
        <v>68</v>
      </c>
      <c r="C26" t="s">
        <v>69</v>
      </c>
      <c r="D26" t="s">
        <v>70</v>
      </c>
      <c r="E26" s="2">
        <f>_xlfn.NUMBERVALUE(SUBSTITUTE(_xlfn.WEBSERVICE(_xlfn.CONCAT("http://172.31.103.65:5000/symbol/",$C26,"/annualGrowthRatio/raw")),".",",",1))</f>
        <v>-0.116235858211333</v>
      </c>
      <c r="F26" s="2">
        <f>_xlfn.NUMBERVALUE(SUBSTITUTE(_xlfn.WEBSERVICE(_xlfn.CONCAT("http://172.31.103.65:5000/symbol/",$C26,"/debtToEquityPercentage/raw")),".",",",1))/100</f>
        <v>11.281040000000001</v>
      </c>
      <c r="G26" s="2">
        <f>_xlfn.NUMBERVALUE(SUBSTITUTE(_xlfn.WEBSERVICE(_xlfn.CONCAT("http://172.31.103.65:5000/symbol/",$C26,"/ROE/raw")),".",",",1))</f>
        <v>13.6603773584905</v>
      </c>
      <c r="H26" s="4">
        <f>_xlfn.NUMBERVALUE(SUBSTITUTE(_xlfn.WEBSERVICE(_xlfn.CONCAT("http://172.31.103.65:5000/symbol/",$C26,"/PERatio/raw")),".",",",1))</f>
        <v>24.606234000000001</v>
      </c>
      <c r="I26" s="5">
        <f>_xlfn.NUMBERVALUE(SUBSTITUTE(_xlfn.WEBSERVICE(_xlfn.CONCAT("http://172.31.103.65:5000/symbol/",$C26,"/discountToIntrinsicValueRatio/raw")),".",",",1))</f>
        <v>-0.85009265373064302</v>
      </c>
      <c r="J26" t="str">
        <f>_xlfn.WEBSERVICE(_xlfn.CONCAT("http://172.31.103.65:5000/symbol/",$C26,"/recommendationKey/raw"))</f>
        <v>buy</v>
      </c>
      <c r="K26" s="4">
        <f>_xlfn.NUMBERVALUE(_xlfn.WEBSERVICE(_xlfn.CONCAT("http://172.31.103.65:5000/symbol/",$C26,"/overallRisk/raw")))</f>
        <v>1</v>
      </c>
      <c r="L26" s="5">
        <f>_xlfn.NUMBERVALUE(SUBSTITUTE(_xlfn.WEBSERVICE(_xlfn.CONCAT("http://172.31.103.65:5000/symbol/",$C26,"/targetRatio/raw")),".",",",1))</f>
        <v>0.13431176606032599</v>
      </c>
      <c r="M26" t="str">
        <f>_xlfn.WEBSERVICE(_xlfn.CONCAT("http://172.31.103.65:5000/symbol/",$C26,"/exDividendDate/raw"))</f>
        <v>18/07/2025</v>
      </c>
      <c r="N26" s="7">
        <f>_xlfn.NUMBERVALUE(SUBSTITUTE(SUBSTITUTE(_xlfn.WEBSERVICE(_xlfn.CONCAT("http://172.31.103.65:5000/symbol/",$C26,"/dividendRate/raw")),".",",",1),"-","0", 1))</f>
        <v>2.08</v>
      </c>
      <c r="O26" s="7">
        <f>_xlfn.NUMBERVALUE(SUBSTITUTE(_xlfn.WEBSERVICE(_xlfn.CONCAT("http://172.31.103.65:5000/symbol/",$C26,"/currentPrice/raw")),".",",",1))</f>
        <v>86.86</v>
      </c>
      <c r="P26" s="2">
        <f>N26/O26</f>
        <v>2.3946580704582086E-2</v>
      </c>
    </row>
    <row r="27" spans="1:16" x14ac:dyDescent="0.25">
      <c r="A27">
        <v>24</v>
      </c>
      <c r="B27" t="s">
        <v>65</v>
      </c>
      <c r="C27" t="s">
        <v>71</v>
      </c>
      <c r="D27" t="s">
        <v>72</v>
      </c>
      <c r="E27" s="2">
        <f>_xlfn.NUMBERVALUE(SUBSTITUTE(_xlfn.WEBSERVICE(_xlfn.CONCAT("http://172.31.103.65:5000/symbol/",$C27,"/annualGrowthRatio/raw")),".",",",1))</f>
        <v>-0.16772914245186099</v>
      </c>
      <c r="F27" s="2">
        <f>_xlfn.NUMBERVALUE(SUBSTITUTE(_xlfn.WEBSERVICE(_xlfn.CONCAT("http://172.31.103.65:5000/symbol/",$C27,"/debtToEquityPercentage/raw")),".",",",1))/100</f>
        <v>1.1354200000000001</v>
      </c>
      <c r="G27" s="2">
        <f>_xlfn.NUMBERVALUE(SUBSTITUTE(_xlfn.WEBSERVICE(_xlfn.CONCAT("http://172.31.103.65:5000/symbol/",$C27,"/ROE/raw")),".",",",1))</f>
        <v>0.18361383973819501</v>
      </c>
      <c r="H27" s="4">
        <f>_xlfn.NUMBERVALUE(SUBSTITUTE(_xlfn.WEBSERVICE(_xlfn.CONCAT("http://172.31.103.65:5000/symbol/",$C27,"/PERatio/raw")),".",",",1))</f>
        <v>8.0862069999999999</v>
      </c>
      <c r="I27" s="5">
        <f>_xlfn.NUMBERVALUE(SUBSTITUTE(_xlfn.WEBSERVICE(_xlfn.CONCAT("http://172.31.103.65:5000/symbol/",$C27,"/discountToIntrinsicValueRatio/raw")),".",",",1))</f>
        <v>2.0235704932343901</v>
      </c>
      <c r="J27" t="str">
        <f>_xlfn.WEBSERVICE(_xlfn.CONCAT("http://172.31.103.65:5000/symbol/",$C27,"/recommendationKey/raw"))</f>
        <v>buy</v>
      </c>
      <c r="K27" s="4">
        <f>_xlfn.NUMBERVALUE(_xlfn.WEBSERVICE(_xlfn.CONCAT("http://172.31.103.65:5000/symbol/",$C27,"/overallRisk/raw")))</f>
        <v>10</v>
      </c>
      <c r="L27" s="5">
        <f>_xlfn.NUMBERVALUE(SUBSTITUTE(_xlfn.WEBSERVICE(_xlfn.CONCAT("http://172.31.103.65:5000/symbol/",$C27,"/targetRatio/raw")),".",",",1))</f>
        <v>0.21805939689308501</v>
      </c>
      <c r="M27" t="str">
        <f>_xlfn.WEBSERVICE(_xlfn.CONCAT("http://172.31.103.65:5000/symbol/",$C27,"/exDividendDate/raw"))</f>
        <v>02/07/2025</v>
      </c>
      <c r="N27" s="7">
        <f>_xlfn.NUMBERVALUE(SUBSTITUTE(SUBSTITUTE(_xlfn.WEBSERVICE(_xlfn.CONCAT("http://172.31.103.65:5000/symbol/",$C27,"/dividendRate/raw")),".",",",1),"-","0", 1))</f>
        <v>1.32</v>
      </c>
      <c r="O27" s="7">
        <f>_xlfn.NUMBERVALUE(SUBSTITUTE(_xlfn.WEBSERVICE(_xlfn.CONCAT("http://172.31.103.65:5000/symbol/",$C27,"/currentPrice/raw")),".",",",1))</f>
        <v>32.83</v>
      </c>
      <c r="P27" s="2">
        <f>N27/O27</f>
        <v>4.0207127627170276E-2</v>
      </c>
    </row>
    <row r="28" spans="1:16" x14ac:dyDescent="0.25">
      <c r="A28">
        <v>25</v>
      </c>
      <c r="B28" t="s">
        <v>31</v>
      </c>
      <c r="C28" t="s">
        <v>73</v>
      </c>
      <c r="D28" t="s">
        <v>74</v>
      </c>
      <c r="E28" s="2">
        <f>_xlfn.NUMBERVALUE(SUBSTITUTE(_xlfn.WEBSERVICE(_xlfn.CONCAT("http://172.31.103.65:5000/symbol/",$C28,"/annualGrowthRatio/raw")),".",",",1))</f>
        <v>0.42399999187035198</v>
      </c>
      <c r="F28" s="2" t="e">
        <f>_xlfn.NUMBERVALUE(SUBSTITUTE(_xlfn.WEBSERVICE(_xlfn.CONCAT("http://172.31.103.65:5000/symbol/",$C28,"/debtToEquityPercentage/raw")),".",",",1))/100</f>
        <v>#VALUE!</v>
      </c>
      <c r="G28" s="2">
        <f>_xlfn.NUMBERVALUE(SUBSTITUTE(_xlfn.WEBSERVICE(_xlfn.CONCAT("http://172.31.103.65:5000/symbol/",$C28,"/ROE/raw")),".",",",1))</f>
        <v>-4.4913135035535602E-3</v>
      </c>
      <c r="H28" s="4">
        <f>_xlfn.NUMBERVALUE(SUBSTITUTE(_xlfn.WEBSERVICE(_xlfn.CONCAT("http://172.31.103.65:5000/symbol/",$C28,"/PERatio/raw")),".",",",1))</f>
        <v>593.94446000000005</v>
      </c>
      <c r="I28" s="5">
        <f>_xlfn.NUMBERVALUE(SUBSTITUTE(_xlfn.WEBSERVICE(_xlfn.CONCAT("http://172.31.103.65:5000/symbol/",$C28,"/discountToIntrinsicValueRatio/raw")),".",",",1))</f>
        <v>-68.875816993463999</v>
      </c>
      <c r="J28" t="str">
        <f>_xlfn.WEBSERVICE(_xlfn.CONCAT("http://172.31.103.65:5000/symbol/",$C28,"/recommendationKey/raw"))</f>
        <v>buy</v>
      </c>
      <c r="K28" s="4">
        <f>_xlfn.NUMBERVALUE(_xlfn.WEBSERVICE(_xlfn.CONCAT("http://172.31.103.65:5000/symbol/",$C28,"/overallRisk/raw")))</f>
        <v>5</v>
      </c>
      <c r="L28" s="5">
        <f>_xlfn.NUMBERVALUE(SUBSTITUTE(_xlfn.WEBSERVICE(_xlfn.CONCAT("http://172.31.103.65:5000/symbol/",$C28,"/targetRatio/raw")),".",",",1))</f>
        <v>0.17248152651763099</v>
      </c>
      <c r="M28" t="str">
        <f>_xlfn.WEBSERVICE(_xlfn.CONCAT("http://172.31.103.65:5000/symbol/",$C28,"/exDividendDate/raw"))</f>
        <v>23/05/2025</v>
      </c>
      <c r="N28" s="7">
        <f>_xlfn.NUMBERVALUE(SUBSTITUTE(SUBSTITUTE(_xlfn.WEBSERVICE(_xlfn.CONCAT("http://172.31.103.65:5000/symbol/",$C28,"/dividendRate/raw")),".",",",1),"-","0", 1))</f>
        <v>2.4</v>
      </c>
      <c r="O28" s="7">
        <f>_xlfn.NUMBERVALUE(SUBSTITUTE(_xlfn.WEBSERVICE(_xlfn.CONCAT("http://172.31.103.65:5000/symbol/",$C28,"/currentPrice/raw")),".",",",1))</f>
        <v>213.82</v>
      </c>
      <c r="P28" s="2">
        <f>N28/O28</f>
        <v>1.1224394350388177E-2</v>
      </c>
    </row>
    <row r="29" spans="1:16" x14ac:dyDescent="0.25">
      <c r="A29">
        <v>26</v>
      </c>
      <c r="B29" t="s">
        <v>75</v>
      </c>
      <c r="C29" t="s">
        <v>76</v>
      </c>
      <c r="D29" t="s">
        <v>77</v>
      </c>
      <c r="E29" s="2">
        <f>_xlfn.NUMBERVALUE(SUBSTITUTE(_xlfn.WEBSERVICE(_xlfn.CONCAT("http://172.31.103.65:5000/symbol/",$C29,"/annualGrowthRatio/raw")),".",",",1))</f>
        <v>-8.0631630907653004E-2</v>
      </c>
      <c r="F29" s="2">
        <f>_xlfn.NUMBERVALUE(SUBSTITUTE(_xlfn.WEBSERVICE(_xlfn.CONCAT("http://172.31.103.65:5000/symbol/",$C29,"/debtToEquityPercentage/raw")),".",",",1))/100</f>
        <v>0.36457000000000001</v>
      </c>
      <c r="G29" s="2">
        <f>_xlfn.NUMBERVALUE(SUBSTITUTE(_xlfn.WEBSERVICE(_xlfn.CONCAT("http://172.31.103.65:5000/symbol/",$C29,"/ROE/raw")),".",",",1))</f>
        <v>0.14686092129143699</v>
      </c>
      <c r="H29" s="4">
        <f>_xlfn.NUMBERVALUE(SUBSTITUTE(_xlfn.WEBSERVICE(_xlfn.CONCAT("http://172.31.103.65:5000/symbol/",$C29,"/PERatio/raw")),".",",",1))</f>
        <v>12.419518</v>
      </c>
      <c r="I29" s="5">
        <f>_xlfn.NUMBERVALUE(SUBSTITUTE(_xlfn.WEBSERVICE(_xlfn.CONCAT("http://172.31.103.65:5000/symbol/",$C29,"/discountToIntrinsicValueRatio/raw")),".",",",1))</f>
        <v>0.21889821523941599</v>
      </c>
      <c r="J29" t="str">
        <f>_xlfn.WEBSERVICE(_xlfn.CONCAT("http://172.31.103.65:5000/symbol/",$C29,"/recommendationKey/raw"))</f>
        <v>buy</v>
      </c>
      <c r="K29" s="4">
        <f>_xlfn.NUMBERVALUE(_xlfn.WEBSERVICE(_xlfn.CONCAT("http://172.31.103.65:5000/symbol/",$C29,"/overallRisk/raw")))</f>
        <v>6</v>
      </c>
      <c r="L29" s="5">
        <f>_xlfn.NUMBERVALUE(SUBSTITUTE(_xlfn.WEBSERVICE(_xlfn.CONCAT("http://172.31.103.65:5000/symbol/",$C29,"/targetRatio/raw")),".",",",1))</f>
        <v>0.19135360751097</v>
      </c>
      <c r="M29" t="str">
        <f>_xlfn.WEBSERVICE(_xlfn.CONCAT("http://172.31.103.65:5000/symbol/",$C29,"/exDividendDate/raw"))</f>
        <v>19/05/2025</v>
      </c>
      <c r="N29" s="7">
        <f>_xlfn.NUMBERVALUE(SUBSTITUTE(SUBSTITUTE(_xlfn.WEBSERVICE(_xlfn.CONCAT("http://172.31.103.65:5000/symbol/",$C29,"/dividendRate/raw")),".",",",1),"-","0", 1))</f>
        <v>3.12</v>
      </c>
      <c r="O29" s="7">
        <f>_xlfn.NUMBERVALUE(SUBSTITUTE(_xlfn.WEBSERVICE(_xlfn.CONCAT("http://172.31.103.65:5000/symbol/",$C29,"/currentPrice/raw")),".",",",1))</f>
        <v>97.99</v>
      </c>
      <c r="P29" s="2">
        <f>N29/O29</f>
        <v>3.1839983671803247E-2</v>
      </c>
    </row>
    <row r="30" spans="1:16" x14ac:dyDescent="0.25">
      <c r="A30">
        <v>27</v>
      </c>
      <c r="B30" t="s">
        <v>68</v>
      </c>
      <c r="C30" t="s">
        <v>78</v>
      </c>
      <c r="D30" t="s">
        <v>79</v>
      </c>
      <c r="E30" s="2">
        <f>_xlfn.NUMBERVALUE(SUBSTITUTE(_xlfn.WEBSERVICE(_xlfn.CONCAT("http://172.31.103.65:5000/symbol/",$C30,"/annualGrowthRatio/raw")),".",",",1))</f>
        <v>0.158063803195643</v>
      </c>
      <c r="F30" s="2">
        <f>_xlfn.NUMBERVALUE(SUBSTITUTE(_xlfn.WEBSERVICE(_xlfn.CONCAT("http://172.31.103.65:5000/symbol/",$C30,"/debtToEquityPercentage/raw")),".",",",1))/100</f>
        <v>0.30813000000000001</v>
      </c>
      <c r="G30" s="2">
        <f>_xlfn.NUMBERVALUE(SUBSTITUTE(_xlfn.WEBSERVICE(_xlfn.CONCAT("http://172.31.103.65:5000/symbol/",$C30,"/ROE/raw")),".",",",1))</f>
        <v>0.33202098924731099</v>
      </c>
      <c r="H30" s="4">
        <f>_xlfn.NUMBERVALUE(SUBSTITUTE(_xlfn.WEBSERVICE(_xlfn.CONCAT("http://172.31.103.65:5000/symbol/",$C30,"/PERatio/raw")),".",",",1))</f>
        <v>52.950139999999998</v>
      </c>
      <c r="I30" s="5">
        <f>_xlfn.NUMBERVALUE(SUBSTITUTE(_xlfn.WEBSERVICE(_xlfn.CONCAT("http://172.31.103.65:5000/symbol/",$C30,"/discountToIntrinsicValueRatio/raw")),".",",",1))</f>
        <v>-0.51719603561774996</v>
      </c>
      <c r="J30" t="str">
        <f>_xlfn.WEBSERVICE(_xlfn.CONCAT("http://172.31.103.65:5000/symbol/",$C30,"/recommendationKey/raw"))</f>
        <v>buy</v>
      </c>
      <c r="K30" s="4">
        <f>_xlfn.NUMBERVALUE(_xlfn.WEBSERVICE(_xlfn.CONCAT("http://172.31.103.65:5000/symbol/",$C30,"/overallRisk/raw")))</f>
        <v>1</v>
      </c>
      <c r="L30" s="5">
        <f>_xlfn.NUMBERVALUE(SUBSTITUTE(_xlfn.WEBSERVICE(_xlfn.CONCAT("http://172.31.103.65:5000/symbol/",$C30,"/targetRatio/raw")),".",",",1))</f>
        <v>0.14673058197887701</v>
      </c>
      <c r="M30" t="str">
        <f>_xlfn.WEBSERVICE(_xlfn.CONCAT("http://172.31.103.65:5000/symbol/",$C30,"/exDividendDate/raw"))</f>
        <v>01/08/2025</v>
      </c>
      <c r="N30" s="7">
        <f>_xlfn.NUMBERVALUE(SUBSTITUTE(SUBSTITUTE(_xlfn.WEBSERVICE(_xlfn.CONCAT("http://172.31.103.65:5000/symbol/",$C30,"/dividendRate/raw")),".",",",1),"-","0", 1))</f>
        <v>5.2</v>
      </c>
      <c r="O30" s="7">
        <f>_xlfn.NUMBERVALUE(SUBSTITUTE(_xlfn.WEBSERVICE(_xlfn.CONCAT("http://172.31.103.65:5000/symbol/",$C30,"/currentPrice/raw")),".",",",1))</f>
        <v>934.57</v>
      </c>
      <c r="P30" s="2">
        <f>N30/O30</f>
        <v>5.5640561969675893E-3</v>
      </c>
    </row>
    <row r="31" spans="1:16" x14ac:dyDescent="0.25">
      <c r="A31">
        <v>28</v>
      </c>
      <c r="B31" t="s">
        <v>19</v>
      </c>
      <c r="C31" t="s">
        <v>80</v>
      </c>
      <c r="D31" t="s">
        <v>81</v>
      </c>
      <c r="E31" s="2">
        <f>_xlfn.NUMBERVALUE(SUBSTITUTE(_xlfn.WEBSERVICE(_xlfn.CONCAT("http://172.31.103.65:5000/symbol/",$C31,"/annualGrowthRatio/raw")),".",",",1))</f>
        <v>4.2773004692209501E-2</v>
      </c>
      <c r="F31" s="2">
        <f>_xlfn.NUMBERVALUE(SUBSTITUTE(_xlfn.WEBSERVICE(_xlfn.CONCAT("http://172.31.103.65:5000/symbol/",$C31,"/debtToEquityPercentage/raw")),".",",",1))/100</f>
        <v>0.19813</v>
      </c>
      <c r="G31" s="2">
        <f>_xlfn.NUMBERVALUE(SUBSTITUTE(_xlfn.WEBSERVICE(_xlfn.CONCAT("http://172.31.103.65:5000/symbol/",$C31,"/ROE/raw")),".",",",1))</f>
        <v>0.10143364216239099</v>
      </c>
      <c r="H31" s="4">
        <f>_xlfn.NUMBERVALUE(SUBSTITUTE(_xlfn.WEBSERVICE(_xlfn.CONCAT("http://172.31.103.65:5000/symbol/",$C31,"/PERatio/raw")),".",",",1))</f>
        <v>41.91066</v>
      </c>
      <c r="I31" s="5">
        <f>_xlfn.NUMBERVALUE(SUBSTITUTE(_xlfn.WEBSERVICE(_xlfn.CONCAT("http://172.31.103.65:5000/symbol/",$C31,"/discountToIntrinsicValueRatio/raw")),".",",",1))</f>
        <v>-2.40737059408211</v>
      </c>
      <c r="J31" t="str">
        <f>_xlfn.WEBSERVICE(_xlfn.CONCAT("http://172.31.103.65:5000/symbol/",$C31,"/recommendationKey/raw"))</f>
        <v>buy</v>
      </c>
      <c r="K31" s="4">
        <f>_xlfn.NUMBERVALUE(_xlfn.WEBSERVICE(_xlfn.CONCAT("http://172.31.103.65:5000/symbol/",$C31,"/overallRisk/raw")))</f>
        <v>6</v>
      </c>
      <c r="L31" s="5">
        <f>_xlfn.NUMBERVALUE(SUBSTITUTE(_xlfn.WEBSERVICE(_xlfn.CONCAT("http://172.31.103.65:5000/symbol/",$C31,"/targetRatio/raw")),".",",",1))</f>
        <v>0.30681237144246198</v>
      </c>
      <c r="M31" t="str">
        <f>_xlfn.WEBSERVICE(_xlfn.CONCAT("http://172.31.103.65:5000/symbol/",$C31,"/exDividendDate/raw"))</f>
        <v>18/06/2025</v>
      </c>
      <c r="N31" s="7">
        <f>_xlfn.NUMBERVALUE(SUBSTITUTE(SUBSTITUTE(_xlfn.WEBSERVICE(_xlfn.CONCAT("http://172.31.103.65:5000/symbol/",$C31,"/dividendRate/raw")),".",",",1),"-","0", 1))</f>
        <v>1.66</v>
      </c>
      <c r="O31" s="7">
        <f>_xlfn.NUMBERVALUE(SUBSTITUTE(_xlfn.WEBSERVICE(_xlfn.CONCAT("http://172.31.103.65:5000/symbol/",$C31,"/currentPrice/raw")),".",",",1))</f>
        <v>267.39</v>
      </c>
      <c r="P31" s="2">
        <f>N31/O31</f>
        <v>6.2081603650099102E-3</v>
      </c>
    </row>
    <row r="32" spans="1:16" x14ac:dyDescent="0.25">
      <c r="A32">
        <v>29</v>
      </c>
      <c r="B32" t="s">
        <v>19</v>
      </c>
      <c r="C32" t="s">
        <v>82</v>
      </c>
      <c r="D32" t="s">
        <v>83</v>
      </c>
      <c r="E32" s="2">
        <f>_xlfn.NUMBERVALUE(SUBSTITUTE(_xlfn.WEBSERVICE(_xlfn.CONCAT("http://172.31.103.65:5000/symbol/",$C32,"/annualGrowthRatio/raw")),".",",",1))</f>
        <v>0.45042995492224203</v>
      </c>
      <c r="F32" s="2">
        <f>_xlfn.NUMBERVALUE(SUBSTITUTE(_xlfn.WEBSERVICE(_xlfn.CONCAT("http://172.31.103.65:5000/symbol/",$C32,"/debtToEquityPercentage/raw")),".",",",1))/100</f>
        <v>0.66932000000000003</v>
      </c>
      <c r="G32" s="2">
        <f>_xlfn.NUMBERVALUE(SUBSTITUTE(_xlfn.WEBSERVICE(_xlfn.CONCAT("http://172.31.103.65:5000/symbol/",$C32,"/ROE/raw")),".",",",1))</f>
        <v>0.21541236773214201</v>
      </c>
      <c r="H32" s="4">
        <f>_xlfn.NUMBERVALUE(SUBSTITUTE(_xlfn.WEBSERVICE(_xlfn.CONCAT("http://172.31.103.65:5000/symbol/",$C32,"/PERatio/raw")),".",",",1))</f>
        <v>27.738775</v>
      </c>
      <c r="I32" s="5">
        <f>_xlfn.NUMBERVALUE(SUBSTITUTE(_xlfn.WEBSERVICE(_xlfn.CONCAT("http://172.31.103.65:5000/symbol/",$C32,"/discountToIntrinsicValueRatio/raw")),".",",",1))</f>
        <v>0.64483001907549198</v>
      </c>
      <c r="J32" t="str">
        <f>_xlfn.WEBSERVICE(_xlfn.CONCAT("http://172.31.103.65:5000/symbol/",$C32,"/recommendationKey/raw"))</f>
        <v>buy</v>
      </c>
      <c r="K32" s="4">
        <f>_xlfn.NUMBERVALUE(_xlfn.WEBSERVICE(_xlfn.CONCAT("http://172.31.103.65:5000/symbol/",$C32,"/overallRisk/raw")))</f>
        <v>4</v>
      </c>
      <c r="L32" s="5">
        <f>_xlfn.NUMBERVALUE(SUBSTITUTE(_xlfn.WEBSERVICE(_xlfn.CONCAT("http://172.31.103.65:5000/symbol/",$C32,"/targetRatio/raw")),".",",",1))</f>
        <v>6.1526780459093697E-2</v>
      </c>
      <c r="M32" t="str">
        <f>_xlfn.WEBSERVICE(_xlfn.CONCAT("http://172.31.103.65:5000/symbol/",$C32,"/exDividendDate/raw"))</f>
        <v>03/07/2025</v>
      </c>
      <c r="N32" s="7">
        <f>_xlfn.NUMBERVALUE(SUBSTITUTE(SUBSTITUTE(_xlfn.WEBSERVICE(_xlfn.CONCAT("http://172.31.103.65:5000/symbol/",$C32,"/dividendRate/raw")),".",",",1),"-","0", 1))</f>
        <v>1.64</v>
      </c>
      <c r="O32" s="7">
        <f>_xlfn.NUMBERVALUE(SUBSTITUTE(_xlfn.WEBSERVICE(_xlfn.CONCAT("http://172.31.103.65:5000/symbol/",$C32,"/currentPrice/raw")),".",",",1))</f>
        <v>67.959999999999994</v>
      </c>
      <c r="P32" s="2">
        <f>N32/O32</f>
        <v>2.4131842260153032E-2</v>
      </c>
    </row>
    <row r="33" spans="1:16" x14ac:dyDescent="0.25">
      <c r="A33">
        <v>30</v>
      </c>
      <c r="B33" t="s">
        <v>22</v>
      </c>
      <c r="C33" t="s">
        <v>84</v>
      </c>
      <c r="D33" t="s">
        <v>85</v>
      </c>
      <c r="E33" s="2">
        <f>_xlfn.NUMBERVALUE(SUBSTITUTE(_xlfn.WEBSERVICE(_xlfn.CONCAT("http://172.31.103.65:5000/symbol/",$C33,"/annualGrowthRatio/raw")),".",",",1))</f>
        <v>-6.8053921048914197E-3</v>
      </c>
      <c r="F33" s="2">
        <f>_xlfn.NUMBERVALUE(SUBSTITUTE(_xlfn.WEBSERVICE(_xlfn.CONCAT("http://172.31.103.65:5000/symbol/",$C33,"/debtToEquityPercentage/raw")),".",",",1))/100</f>
        <v>1.05321</v>
      </c>
      <c r="G33" s="2">
        <f>_xlfn.NUMBERVALUE(SUBSTITUTE(_xlfn.WEBSERVICE(_xlfn.CONCAT("http://172.31.103.65:5000/symbol/",$C33,"/ROE/raw")),".",",",1))</f>
        <v>6.9878242456326095E-2</v>
      </c>
      <c r="H33" s="4">
        <f>_xlfn.NUMBERVALUE(SUBSTITUTE(_xlfn.WEBSERVICE(_xlfn.CONCAT("http://172.31.103.65:5000/symbol/",$C33,"/PERatio/raw")),".",",",1))</f>
        <v>14.319808999999999</v>
      </c>
      <c r="I33" s="5">
        <f>_xlfn.NUMBERVALUE(SUBSTITUTE(_xlfn.WEBSERVICE(_xlfn.CONCAT("http://172.31.103.65:5000/symbol/",$C33,"/discountToIntrinsicValueRatio/raw")),".",",",1))</f>
        <v>0.88890761001386798</v>
      </c>
      <c r="J33" t="str">
        <f>_xlfn.WEBSERVICE(_xlfn.CONCAT("http://172.31.103.65:5000/symbol/",$C33,"/recommendationKey/raw"))</f>
        <v>buy</v>
      </c>
      <c r="K33" s="4">
        <f>_xlfn.NUMBERVALUE(_xlfn.WEBSERVICE(_xlfn.CONCAT("http://172.31.103.65:5000/symbol/",$C33,"/overallRisk/raw")))</f>
        <v>9</v>
      </c>
      <c r="L33" s="5">
        <f>_xlfn.NUMBERVALUE(SUBSTITUTE(_xlfn.WEBSERVICE(_xlfn.CONCAT("http://172.31.103.65:5000/symbol/",$C33,"/targetRatio/raw")),".",",",1))</f>
        <v>0.32343049999999901</v>
      </c>
      <c r="M33" t="str">
        <f>_xlfn.WEBSERVICE(_xlfn.CONCAT("http://172.31.103.65:5000/symbol/",$C33,"/exDividendDate/raw"))</f>
        <v>22/07/2025</v>
      </c>
      <c r="N33" s="7">
        <f>_xlfn.NUMBERVALUE(SUBSTITUTE(SUBSTITUTE(_xlfn.WEBSERVICE(_xlfn.CONCAT("http://172.31.103.65:5000/symbol/",$C33,"/dividendRate/raw")),".",",",1),"-","0", 1))</f>
        <v>2.66</v>
      </c>
      <c r="O33" s="7">
        <f>_xlfn.NUMBERVALUE(SUBSTITUTE(_xlfn.WEBSERVICE(_xlfn.CONCAT("http://172.31.103.65:5000/symbol/",$C33,"/currentPrice/raw")),".",",",1))</f>
        <v>60</v>
      </c>
      <c r="P33" s="2">
        <f>N33/O33</f>
        <v>4.4333333333333336E-2</v>
      </c>
    </row>
    <row r="34" spans="1:16" x14ac:dyDescent="0.25">
      <c r="A34">
        <v>31</v>
      </c>
      <c r="B34" t="s">
        <v>75</v>
      </c>
      <c r="C34" t="s">
        <v>86</v>
      </c>
      <c r="D34" t="s">
        <v>87</v>
      </c>
      <c r="E34" s="2">
        <f>_xlfn.NUMBERVALUE(SUBSTITUTE(_xlfn.WEBSERVICE(_xlfn.CONCAT("http://172.31.103.65:5000/symbol/",$C34,"/annualGrowthRatio/raw")),".",",",1))</f>
        <v>2.8776838261462E-2</v>
      </c>
      <c r="F34" s="2">
        <f>_xlfn.NUMBERVALUE(SUBSTITUTE(_xlfn.WEBSERVICE(_xlfn.CONCAT("http://172.31.103.65:5000/symbol/",$C34,"/debtToEquityPercentage/raw")),".",",",1))/100</f>
        <v>0.19777</v>
      </c>
      <c r="G34" s="2">
        <f>_xlfn.NUMBERVALUE(SUBSTITUTE(_xlfn.WEBSERVICE(_xlfn.CONCAT("http://172.31.103.65:5000/symbol/",$C34,"/ROE/raw")),".",",",1))</f>
        <v>0.102811225567562</v>
      </c>
      <c r="H34" s="4">
        <f>_xlfn.NUMBERVALUE(SUBSTITUTE(_xlfn.WEBSERVICE(_xlfn.CONCAT("http://172.31.103.65:5000/symbol/",$C34,"/PERatio/raw")),".",",",1))</f>
        <v>17.946285</v>
      </c>
      <c r="I34" s="5">
        <f>_xlfn.NUMBERVALUE(SUBSTITUTE(_xlfn.WEBSERVICE(_xlfn.CONCAT("http://172.31.103.65:5000/symbol/",$C34,"/discountToIntrinsicValueRatio/raw")),".",",",1))</f>
        <v>1.3154004519206599</v>
      </c>
      <c r="J34" t="str">
        <f>_xlfn.WEBSERVICE(_xlfn.CONCAT("http://172.31.103.65:5000/symbol/",$C34,"/recommendationKey/raw"))</f>
        <v>buy</v>
      </c>
      <c r="K34" s="4">
        <f>_xlfn.NUMBERVALUE(_xlfn.WEBSERVICE(_xlfn.CONCAT("http://172.31.103.65:5000/symbol/",$C34,"/overallRisk/raw")))</f>
        <v>2</v>
      </c>
      <c r="L34" s="5">
        <f>_xlfn.NUMBERVALUE(SUBSTITUTE(_xlfn.WEBSERVICE(_xlfn.CONCAT("http://172.31.103.65:5000/symbol/",$C34,"/targetRatio/raw")),".",",",1))</f>
        <v>4.8025409157485703E-2</v>
      </c>
      <c r="M34" t="str">
        <f>_xlfn.WEBSERVICE(_xlfn.CONCAT("http://172.31.103.65:5000/symbol/",$C34,"/exDividendDate/raw"))</f>
        <v>19/05/2025</v>
      </c>
      <c r="N34" s="7">
        <f>_xlfn.NUMBERVALUE(SUBSTITUTE(SUBSTITUTE(_xlfn.WEBSERVICE(_xlfn.CONCAT("http://172.31.103.65:5000/symbol/",$C34,"/dividendRate/raw")),".",",",1),"-","0", 1))</f>
        <v>6.84</v>
      </c>
      <c r="O34" s="7">
        <f>_xlfn.NUMBERVALUE(SUBSTITUTE(_xlfn.WEBSERVICE(_xlfn.CONCAT("http://172.31.103.65:5000/symbol/",$C34,"/currentPrice/raw")),".",",",1))</f>
        <v>157.03</v>
      </c>
      <c r="P34" s="2">
        <f>N34/O34</f>
        <v>4.3558555689995539E-2</v>
      </c>
    </row>
    <row r="35" spans="1:16" x14ac:dyDescent="0.25">
      <c r="A35">
        <v>32</v>
      </c>
      <c r="B35" t="s">
        <v>47</v>
      </c>
      <c r="C35" t="s">
        <v>88</v>
      </c>
      <c r="D35" t="s">
        <v>89</v>
      </c>
      <c r="E35" s="2">
        <f>_xlfn.NUMBERVALUE(SUBSTITUTE(_xlfn.WEBSERVICE(_xlfn.CONCAT("http://172.31.103.65:5000/symbol/",$C35,"/annualGrowthRatio/raw")),".",",",1))</f>
        <v>0.39796699757002302</v>
      </c>
      <c r="F35" s="2">
        <f>_xlfn.NUMBERVALUE(SUBSTITUTE(_xlfn.WEBSERVICE(_xlfn.CONCAT("http://172.31.103.65:5000/symbol/",$C35,"/debtToEquityPercentage/raw")),".",",",1))/100</f>
        <v>2.7528100000000002</v>
      </c>
      <c r="G35" s="2">
        <f>_xlfn.NUMBERVALUE(SUBSTITUTE(_xlfn.WEBSERVICE(_xlfn.CONCAT("http://172.31.103.65:5000/symbol/",$C35,"/ROE/raw")),".",",",1))</f>
        <v>0.24750392993518999</v>
      </c>
      <c r="H35" s="4">
        <f>_xlfn.NUMBERVALUE(SUBSTITUTE(_xlfn.WEBSERVICE(_xlfn.CONCAT("http://172.31.103.65:5000/symbol/",$C35,"/PERatio/raw")),".",",",1))</f>
        <v>24.782398000000001</v>
      </c>
      <c r="I35" s="5">
        <f>_xlfn.NUMBERVALUE(SUBSTITUTE(_xlfn.WEBSERVICE(_xlfn.CONCAT("http://172.31.103.65:5000/symbol/",$C35,"/discountToIntrinsicValueRatio/raw")),".",",",1))</f>
        <v>1.69031750564376</v>
      </c>
      <c r="J35" t="str">
        <f>_xlfn.WEBSERVICE(_xlfn.CONCAT("http://172.31.103.65:5000/symbol/",$C35,"/recommendationKey/raw"))</f>
        <v>buy</v>
      </c>
      <c r="K35" s="4">
        <f>_xlfn.NUMBERVALUE(_xlfn.WEBSERVICE(_xlfn.CONCAT("http://172.31.103.65:5000/symbol/",$C35,"/overallRisk/raw")))</f>
        <v>7</v>
      </c>
      <c r="L35" s="5">
        <f>_xlfn.NUMBERVALUE(SUBSTITUTE(_xlfn.WEBSERVICE(_xlfn.CONCAT("http://172.31.103.65:5000/symbol/",$C35,"/targetRatio/raw")),".",",",1))</f>
        <v>6.0771239024390203E-2</v>
      </c>
      <c r="M35" t="str">
        <f>_xlfn.WEBSERVICE(_xlfn.CONCAT("http://172.31.103.65:5000/symbol/",$C35,"/exDividendDate/raw"))</f>
        <v>30/06/2025</v>
      </c>
      <c r="N35" s="7">
        <f>_xlfn.NUMBERVALUE(SUBSTITUTE(SUBSTITUTE(_xlfn.WEBSERVICE(_xlfn.CONCAT("http://172.31.103.65:5000/symbol/",$C35,"/dividendRate/raw")),".",",",1),"-","0", 1))</f>
        <v>6.48</v>
      </c>
      <c r="O35" s="7">
        <f>_xlfn.NUMBERVALUE(SUBSTITUTE(_xlfn.WEBSERVICE(_xlfn.CONCAT("http://172.31.103.65:5000/symbol/",$C35,"/currentPrice/raw")),".",",",1))</f>
        <v>512.5</v>
      </c>
      <c r="P35" s="2">
        <f>N35/O35</f>
        <v>1.2643902439024392E-2</v>
      </c>
    </row>
    <row r="36" spans="1:16" x14ac:dyDescent="0.25">
      <c r="A36">
        <v>33</v>
      </c>
      <c r="B36" t="s">
        <v>22</v>
      </c>
      <c r="C36" t="s">
        <v>90</v>
      </c>
      <c r="D36" t="s">
        <v>91</v>
      </c>
      <c r="E36" s="2">
        <f>_xlfn.NUMBERVALUE(SUBSTITUTE(_xlfn.WEBSERVICE(_xlfn.CONCAT("http://172.31.103.65:5000/symbol/",$C36,"/annualGrowthRatio/raw")),".",",",1))</f>
        <v>-0.24437530643327601</v>
      </c>
      <c r="F36" s="2">
        <f>_xlfn.NUMBERVALUE(SUBSTITUTE(_xlfn.WEBSERVICE(_xlfn.CONCAT("http://172.31.103.65:5000/symbol/",$C36,"/debtToEquityPercentage/raw")),".",",",1))/100</f>
        <v>0.35450000000000004</v>
      </c>
      <c r="G36" s="2">
        <f>_xlfn.NUMBERVALUE(SUBSTITUTE(_xlfn.WEBSERVICE(_xlfn.CONCAT("http://172.31.103.65:5000/symbol/",$C36,"/ROE/raw")),".",",",1))</f>
        <v>6.8889650122116106E-2</v>
      </c>
      <c r="H36" s="4">
        <f>_xlfn.NUMBERVALUE(SUBSTITUTE(_xlfn.WEBSERVICE(_xlfn.CONCAT("http://172.31.103.65:5000/symbol/",$C36,"/PERatio/raw")),".",",",1))</f>
        <v>43.917200000000001</v>
      </c>
      <c r="I36" s="5">
        <f>_xlfn.NUMBERVALUE(SUBSTITUTE(_xlfn.WEBSERVICE(_xlfn.CONCAT("http://172.31.103.65:5000/symbol/",$C36,"/discountToIntrinsicValueRatio/raw")),".",",",1))</f>
        <v>1.67254513709386</v>
      </c>
      <c r="J36" t="str">
        <f>_xlfn.WEBSERVICE(_xlfn.CONCAT("http://172.31.103.65:5000/symbol/",$C36,"/recommendationKey/raw"))</f>
        <v>strong_buy</v>
      </c>
      <c r="K36" s="4">
        <f>_xlfn.NUMBERVALUE(_xlfn.WEBSERVICE(_xlfn.CONCAT("http://172.31.103.65:5000/symbol/",$C36,"/overallRisk/raw")))</f>
        <v>7</v>
      </c>
      <c r="L36" s="5">
        <f>_xlfn.NUMBERVALUE(SUBSTITUTE(_xlfn.WEBSERVICE(_xlfn.CONCAT("http://172.31.103.65:5000/symbol/",$C36,"/targetRatio/raw")),".",",",1))</f>
        <v>0.195713463862702</v>
      </c>
      <c r="M36" t="str">
        <f>_xlfn.WEBSERVICE(_xlfn.CONCAT("http://172.31.103.65:5000/symbol/",$C36,"/exDividendDate/raw"))</f>
        <v>27/06/2025</v>
      </c>
      <c r="N36" s="7">
        <f>_xlfn.NUMBERVALUE(SUBSTITUTE(SUBSTITUTE(_xlfn.WEBSERVICE(_xlfn.CONCAT("http://172.31.103.65:5000/symbol/",$C36,"/dividendRate/raw")),".",",",1),"-","0", 1))</f>
        <v>1.28</v>
      </c>
      <c r="O36" s="7">
        <f>_xlfn.NUMBERVALUE(SUBSTITUTE(_xlfn.WEBSERVICE(_xlfn.CONCAT("http://172.31.103.65:5000/symbol/",$C36,"/currentPrice/raw")),".",",",1))</f>
        <v>206.85</v>
      </c>
      <c r="P36" s="2">
        <f>N36/O36</f>
        <v>6.1880589799371529E-3</v>
      </c>
    </row>
    <row r="37" spans="1:16" x14ac:dyDescent="0.25">
      <c r="A37">
        <v>34</v>
      </c>
      <c r="B37" t="s">
        <v>65</v>
      </c>
      <c r="C37" t="s">
        <v>92</v>
      </c>
      <c r="D37" t="s">
        <v>93</v>
      </c>
      <c r="E37" s="2">
        <f>_xlfn.NUMBERVALUE(SUBSTITUTE(_xlfn.WEBSERVICE(_xlfn.CONCAT("http://172.31.103.65:5000/symbol/",$C37,"/annualGrowthRatio/raw")),".",",",1))</f>
        <v>0.289635730281041</v>
      </c>
      <c r="F37" s="2">
        <f>_xlfn.NUMBERVALUE(SUBSTITUTE(_xlfn.WEBSERVICE(_xlfn.CONCAT("http://172.31.103.65:5000/symbol/",$C37,"/debtToEquityPercentage/raw")),".",",",1))/100</f>
        <v>0.39432</v>
      </c>
      <c r="G37" s="2">
        <f>_xlfn.NUMBERVALUE(SUBSTITUTE(_xlfn.WEBSERVICE(_xlfn.CONCAT("http://172.31.103.65:5000/symbol/",$C37,"/ROE/raw")),".",",",1))</f>
        <v>8.8484151584968598E-2</v>
      </c>
      <c r="H37" s="4">
        <f>_xlfn.NUMBERVALUE(SUBSTITUTE(_xlfn.WEBSERVICE(_xlfn.CONCAT("http://172.31.103.65:5000/symbol/",$C37,"/PERatio/raw")),".",",",1))</f>
        <v>24.471428</v>
      </c>
      <c r="I37" s="5">
        <f>_xlfn.NUMBERVALUE(SUBSTITUTE(_xlfn.WEBSERVICE(_xlfn.CONCAT("http://172.31.103.65:5000/symbol/",$C37,"/discountToIntrinsicValueRatio/raw")),".",",",1))</f>
        <v>-1.8789915966386499</v>
      </c>
      <c r="J37" t="str">
        <f>_xlfn.WEBSERVICE(_xlfn.CONCAT("http://172.31.103.65:5000/symbol/",$C37,"/recommendationKey/raw"))</f>
        <v>buy</v>
      </c>
      <c r="K37" s="4">
        <f>_xlfn.NUMBERVALUE(_xlfn.WEBSERVICE(_xlfn.CONCAT("http://172.31.103.65:5000/symbol/",$C37,"/overallRisk/raw")))</f>
        <v>2</v>
      </c>
      <c r="L37" s="5">
        <f>_xlfn.NUMBERVALUE(SUBSTITUTE(_xlfn.WEBSERVICE(_xlfn.CONCAT("http://172.31.103.65:5000/symbol/",$C37,"/targetRatio/raw")),".",",",1))</f>
        <v>8.3219831540321906E-2</v>
      </c>
      <c r="M37" t="str">
        <f>_xlfn.WEBSERVICE(_xlfn.CONCAT("http://172.31.103.65:5000/symbol/",$C37,"/exDividendDate/raw"))</f>
        <v>24/06/2025</v>
      </c>
      <c r="N37" s="7">
        <f>_xlfn.NUMBERVALUE(SUBSTITUTE(SUBSTITUTE(_xlfn.WEBSERVICE(_xlfn.CONCAT("http://172.31.103.65:5000/symbol/",$C37,"/dividendRate/raw")),".",",",1),"-","0", 1))</f>
        <v>1</v>
      </c>
      <c r="O37" s="7">
        <f>_xlfn.NUMBERVALUE(SUBSTITUTE(_xlfn.WEBSERVICE(_xlfn.CONCAT("http://172.31.103.65:5000/symbol/",$C37,"/currentPrice/raw")),".",",",1))</f>
        <v>119.91</v>
      </c>
      <c r="P37" s="2">
        <f>N37/O37</f>
        <v>8.3395880243515973E-3</v>
      </c>
    </row>
    <row r="38" spans="1:16" x14ac:dyDescent="0.25">
      <c r="A38">
        <v>35</v>
      </c>
      <c r="B38" t="s">
        <v>94</v>
      </c>
      <c r="C38" t="s">
        <v>95</v>
      </c>
      <c r="D38" t="s">
        <v>96</v>
      </c>
      <c r="E38" s="2">
        <f>_xlfn.NUMBERVALUE(SUBSTITUTE(_xlfn.WEBSERVICE(_xlfn.CONCAT("http://172.31.103.65:5000/symbol/",$C38,"/annualGrowthRatio/raw")),".",",",1))</f>
        <v>0.12828315713671901</v>
      </c>
      <c r="F38" s="2">
        <f>_xlfn.NUMBERVALUE(SUBSTITUTE(_xlfn.WEBSERVICE(_xlfn.CONCAT("http://172.31.103.65:5000/symbol/",$C38,"/debtToEquityPercentage/raw")),".",",",1))/100</f>
        <v>1.68902</v>
      </c>
      <c r="G38" s="2">
        <f>_xlfn.NUMBERVALUE(SUBSTITUTE(_xlfn.WEBSERVICE(_xlfn.CONCAT("http://172.31.103.65:5000/symbol/",$C38,"/ROE/raw")),".",",",1))</f>
        <v>9.2646525635398796E-2</v>
      </c>
      <c r="H38" s="4">
        <f>_xlfn.NUMBERVALUE(SUBSTITUTE(_xlfn.WEBSERVICE(_xlfn.CONCAT("http://172.31.103.65:5000/symbol/",$C38,"/PERatio/raw")),".",",",1))</f>
        <v>19.815919999999998</v>
      </c>
      <c r="I38" s="5">
        <f>_xlfn.NUMBERVALUE(SUBSTITUTE(_xlfn.WEBSERVICE(_xlfn.CONCAT("http://172.31.103.65:5000/symbol/",$C38,"/discountToIntrinsicValueRatio/raw")),".",",",1))</f>
        <v>0.62255389718076204</v>
      </c>
      <c r="J38" t="str">
        <f>_xlfn.WEBSERVICE(_xlfn.CONCAT("http://172.31.103.65:5000/symbol/",$C38,"/recommendationKey/raw"))</f>
        <v>buy</v>
      </c>
      <c r="K38" s="4">
        <f>_xlfn.NUMBERVALUE(_xlfn.WEBSERVICE(_xlfn.CONCAT("http://172.31.103.65:5000/symbol/",$C38,"/overallRisk/raw")))</f>
        <v>1</v>
      </c>
      <c r="L38" s="5">
        <f>_xlfn.NUMBERVALUE(SUBSTITUTE(_xlfn.WEBSERVICE(_xlfn.CONCAT("http://172.31.103.65:5000/symbol/",$C38,"/targetRatio/raw")),".",",",1))</f>
        <v>7.30128044187799E-2</v>
      </c>
      <c r="M38" t="str">
        <f>_xlfn.WEBSERVICE(_xlfn.CONCAT("http://172.31.103.65:5000/symbol/",$C38,"/exDividendDate/raw"))</f>
        <v>15/08/2025</v>
      </c>
      <c r="N38" s="7">
        <f>_xlfn.NUMBERVALUE(SUBSTITUTE(SUBSTITUTE(_xlfn.WEBSERVICE(_xlfn.CONCAT("http://172.31.103.65:5000/symbol/",$C38,"/dividendRate/raw")),".",",",1),"-","0", 1))</f>
        <v>4.26</v>
      </c>
      <c r="O38" s="7">
        <f>_xlfn.NUMBERVALUE(SUBSTITUTE(_xlfn.WEBSERVICE(_xlfn.CONCAT("http://172.31.103.65:5000/symbol/",$C38,"/currentPrice/raw")),".",",",1))</f>
        <v>119.49</v>
      </c>
      <c r="P38" s="2">
        <f>N38/O38</f>
        <v>3.5651518955561137E-2</v>
      </c>
    </row>
    <row r="39" spans="1:16" x14ac:dyDescent="0.25">
      <c r="A39">
        <v>36</v>
      </c>
      <c r="B39" t="s">
        <v>47</v>
      </c>
      <c r="C39" t="s">
        <v>97</v>
      </c>
      <c r="D39" t="s">
        <v>98</v>
      </c>
      <c r="E39" s="2">
        <f>_xlfn.NUMBERVALUE(SUBSTITUTE(_xlfn.WEBSERVICE(_xlfn.CONCAT("http://172.31.103.65:5000/symbol/",$C39,"/annualGrowthRatio/raw")),".",",",1))</f>
        <v>0.29867498962605898</v>
      </c>
      <c r="F39" s="2">
        <f>_xlfn.NUMBERVALUE(SUBSTITUTE(_xlfn.WEBSERVICE(_xlfn.CONCAT("http://172.31.103.65:5000/symbol/",$C39,"/debtToEquityPercentage/raw")),".",",",1))/100</f>
        <v>0.77856999999999998</v>
      </c>
      <c r="G39" s="2">
        <f>_xlfn.NUMBERVALUE(SUBSTITUTE(_xlfn.WEBSERVICE(_xlfn.CONCAT("http://172.31.103.65:5000/symbol/",$C39,"/ROE/raw")),".",",",1))</f>
        <v>9.1144388981327401E-2</v>
      </c>
      <c r="H39" s="4">
        <f>_xlfn.NUMBERVALUE(SUBSTITUTE(_xlfn.WEBSERVICE(_xlfn.CONCAT("http://172.31.103.65:5000/symbol/",$C39,"/PERatio/raw")),".",",",1))</f>
        <v>42.785507000000003</v>
      </c>
      <c r="I39" s="5">
        <f>_xlfn.NUMBERVALUE(SUBSTITUTE(_xlfn.WEBSERVICE(_xlfn.CONCAT("http://172.31.103.65:5000/symbol/",$C39,"/discountToIntrinsicValueRatio/raw")),".",",",1))</f>
        <v>-5.7913503565677402</v>
      </c>
      <c r="J39" t="str">
        <f>_xlfn.WEBSERVICE(_xlfn.CONCAT("http://172.31.103.65:5000/symbol/",$C39,"/recommendationKey/raw"))</f>
        <v>buy</v>
      </c>
      <c r="K39" s="4">
        <f>_xlfn.NUMBERVALUE(_xlfn.WEBSERVICE(_xlfn.CONCAT("http://172.31.103.65:5000/symbol/",$C39,"/overallRisk/raw")))</f>
        <v>8</v>
      </c>
      <c r="L39" s="5">
        <f>_xlfn.NUMBERVALUE(SUBSTITUTE(_xlfn.WEBSERVICE(_xlfn.CONCAT("http://172.31.103.65:5000/symbol/",$C39,"/targetRatio/raw")),".",",",1))</f>
        <v>-1.53262651581872E-2</v>
      </c>
      <c r="M39" t="str">
        <f>_xlfn.WEBSERVICE(_xlfn.CONCAT("http://172.31.103.65:5000/symbol/",$C39,"/exDividendDate/raw"))</f>
        <v>16/05/2025</v>
      </c>
      <c r="N39" s="7">
        <f>_xlfn.NUMBERVALUE(SUBSTITUTE(SUBSTITUTE(_xlfn.WEBSERVICE(_xlfn.CONCAT("http://172.31.103.65:5000/symbol/",$C39,"/dividendRate/raw")),".",",",1),"-","0", 1))</f>
        <v>2.11</v>
      </c>
      <c r="O39" s="7">
        <f>_xlfn.NUMBERVALUE(SUBSTITUTE(_xlfn.WEBSERVICE(_xlfn.CONCAT("http://172.31.103.65:5000/symbol/",$C39,"/currentPrice/raw")),".",",",1))</f>
        <v>147.61000000000001</v>
      </c>
      <c r="P39" s="2">
        <f>N39/O39</f>
        <v>1.4294424496985297E-2</v>
      </c>
    </row>
    <row r="40" spans="1:16" x14ac:dyDescent="0.25">
      <c r="A40">
        <v>37</v>
      </c>
      <c r="B40" t="s">
        <v>47</v>
      </c>
      <c r="C40" t="s">
        <v>99</v>
      </c>
      <c r="D40" t="s">
        <v>100</v>
      </c>
      <c r="E40" s="2">
        <f>_xlfn.NUMBERVALUE(SUBSTITUTE(_xlfn.WEBSERVICE(_xlfn.CONCAT("http://172.31.103.65:5000/symbol/",$C40,"/annualGrowthRatio/raw")),".",",",1))</f>
        <v>-0.20338510555132899</v>
      </c>
      <c r="F40" s="2" t="e">
        <f>_xlfn.NUMBERVALUE(SUBSTITUTE(_xlfn.WEBSERVICE(_xlfn.CONCAT("http://172.31.103.65:5000/symbol/",$C40,"/debtToEquityPercentage/raw")),".",",",1))/100</f>
        <v>#VALUE!</v>
      </c>
      <c r="G40" s="2">
        <f>_xlfn.NUMBERVALUE(SUBSTITUTE(_xlfn.WEBSERVICE(_xlfn.CONCAT("http://172.31.103.65:5000/symbol/",$C40,"/ROE/raw")),".",",",1))</f>
        <v>0.14557954206739299</v>
      </c>
      <c r="H40" s="4">
        <f>_xlfn.NUMBERVALUE(SUBSTITUTE(_xlfn.WEBSERVICE(_xlfn.CONCAT("http://172.31.103.65:5000/symbol/",$C40,"/PERatio/raw")),".",",",1))</f>
        <v>13.960713999999999</v>
      </c>
      <c r="I40" s="5">
        <f>_xlfn.NUMBERVALUE(SUBSTITUTE(_xlfn.WEBSERVICE(_xlfn.CONCAT("http://172.31.103.65:5000/symbol/",$C40,"/discountToIntrinsicValueRatio/raw")),".",",",1))</f>
        <v>1.77131018153117</v>
      </c>
      <c r="J40" t="str">
        <f>_xlfn.WEBSERVICE(_xlfn.CONCAT("http://172.31.103.65:5000/symbol/",$C40,"/recommendationKey/raw"))</f>
        <v>buy</v>
      </c>
      <c r="K40" s="4">
        <f>_xlfn.NUMBERVALUE(_xlfn.WEBSERVICE(_xlfn.CONCAT("http://172.31.103.65:5000/symbol/",$C40,"/overallRisk/raw")))</f>
        <v>5</v>
      </c>
      <c r="L40" s="5">
        <f>_xlfn.NUMBERVALUE(SUBSTITUTE(_xlfn.WEBSERVICE(_xlfn.CONCAT("http://172.31.103.65:5000/symbol/",$C40,"/targetRatio/raw")),".",",",1))</f>
        <v>0.13584036838065899</v>
      </c>
      <c r="M40" t="str">
        <f>_xlfn.WEBSERVICE(_xlfn.CONCAT("http://172.31.103.65:5000/symbol/",$C40,"/exDividendDate/raw"))</f>
        <v>23/06/2025</v>
      </c>
      <c r="N40" s="7">
        <f>_xlfn.NUMBERVALUE(SUBSTITUTE(SUBSTITUTE(_xlfn.WEBSERVICE(_xlfn.CONCAT("http://172.31.103.65:5000/symbol/",$C40,"/dividendRate/raw")),".",",",1),"-","0", 1))</f>
        <v>5.8</v>
      </c>
      <c r="O40" s="7">
        <f>_xlfn.NUMBERVALUE(SUBSTITUTE(_xlfn.WEBSERVICE(_xlfn.CONCAT("http://172.31.103.65:5000/symbol/",$C40,"/currentPrice/raw")),".",",",1))</f>
        <v>234.54</v>
      </c>
      <c r="P40" s="2">
        <f>N40/O40</f>
        <v>2.4729257269548905E-2</v>
      </c>
    </row>
    <row r="41" spans="1:16" x14ac:dyDescent="0.25">
      <c r="A41">
        <v>38</v>
      </c>
      <c r="B41" t="s">
        <v>47</v>
      </c>
      <c r="C41" t="s">
        <v>101</v>
      </c>
      <c r="D41" t="s">
        <v>102</v>
      </c>
      <c r="E41" s="2">
        <f>_xlfn.NUMBERVALUE(SUBSTITUTE(_xlfn.WEBSERVICE(_xlfn.CONCAT("http://172.31.103.65:5000/symbol/",$C41,"/annualGrowthRatio/raw")),".",",",1))</f>
        <v>9.6548327246649704E-2</v>
      </c>
      <c r="F41" s="2">
        <f>_xlfn.NUMBERVALUE(SUBSTITUTE(_xlfn.WEBSERVICE(_xlfn.CONCAT("http://172.31.103.65:5000/symbol/",$C41,"/debtToEquityPercentage/raw")),".",",",1))/100</f>
        <v>0.45033999999999996</v>
      </c>
      <c r="G41" s="2">
        <f>_xlfn.NUMBERVALUE(SUBSTITUTE(_xlfn.WEBSERVICE(_xlfn.CONCAT("http://172.31.103.65:5000/symbol/",$C41,"/ROE/raw")),".",",",1))</f>
        <v>0.18519694184834301</v>
      </c>
      <c r="H41" s="4">
        <f>_xlfn.NUMBERVALUE(SUBSTITUTE(_xlfn.WEBSERVICE(_xlfn.CONCAT("http://172.31.103.65:5000/symbol/",$C41,"/PERatio/raw")),".",",",1))</f>
        <v>21.120808</v>
      </c>
      <c r="I41" s="5">
        <f>_xlfn.NUMBERVALUE(SUBSTITUTE(_xlfn.WEBSERVICE(_xlfn.CONCAT("http://172.31.103.65:5000/symbol/",$C41,"/discountToIntrinsicValueRatio/raw")),".",",",1))</f>
        <v>0.442722813479485</v>
      </c>
      <c r="J41" t="str">
        <f>_xlfn.WEBSERVICE(_xlfn.CONCAT("http://172.31.103.65:5000/symbol/",$C41,"/recommendationKey/raw"))</f>
        <v>buy</v>
      </c>
      <c r="K41" s="4">
        <f>_xlfn.NUMBERVALUE(_xlfn.WEBSERVICE(_xlfn.CONCAT("http://172.31.103.65:5000/symbol/",$C41,"/overallRisk/raw")))</f>
        <v>3</v>
      </c>
      <c r="L41" s="5">
        <f>_xlfn.NUMBERVALUE(SUBSTITUTE(_xlfn.WEBSERVICE(_xlfn.CONCAT("http://172.31.103.65:5000/symbol/",$C41,"/targetRatio/raw")),".",",",1))</f>
        <v>6.5231712742294307E-2</v>
      </c>
      <c r="M41" t="str">
        <f>_xlfn.WEBSERVICE(_xlfn.CONCAT("http://172.31.103.65:5000/symbol/",$C41,"/exDividendDate/raw"))</f>
        <v>03/07/2025</v>
      </c>
      <c r="N41" s="7">
        <f>_xlfn.NUMBERVALUE(SUBSTITUTE(SUBSTITUTE(_xlfn.WEBSERVICE(_xlfn.CONCAT("http://172.31.103.65:5000/symbol/",$C41,"/dividendRate/raw")),".",",",1),"-","0", 1))</f>
        <v>6</v>
      </c>
      <c r="O41" s="7">
        <f>_xlfn.NUMBERVALUE(SUBSTITUTE(_xlfn.WEBSERVICE(_xlfn.CONCAT("http://172.31.103.65:5000/symbol/",$C41,"/currentPrice/raw")),".",",",1))</f>
        <v>314.7</v>
      </c>
      <c r="P41" s="2">
        <f>N41/O41</f>
        <v>1.9065776930409915E-2</v>
      </c>
    </row>
    <row r="42" spans="1:16" x14ac:dyDescent="0.25">
      <c r="A42">
        <v>39</v>
      </c>
      <c r="B42" t="s">
        <v>47</v>
      </c>
      <c r="C42" t="s">
        <v>103</v>
      </c>
      <c r="D42" t="s">
        <v>104</v>
      </c>
      <c r="E42" s="2">
        <f>_xlfn.NUMBERVALUE(SUBSTITUTE(_xlfn.WEBSERVICE(_xlfn.CONCAT("http://172.31.103.65:5000/symbol/",$C42,"/annualGrowthRatio/raw")),".",",",1))</f>
        <v>0.62438844031977803</v>
      </c>
      <c r="F42" s="2">
        <f>_xlfn.NUMBERVALUE(SUBSTITUTE(_xlfn.WEBSERVICE(_xlfn.CONCAT("http://172.31.103.65:5000/symbol/",$C42,"/debtToEquityPercentage/raw")),".",",",1))/100</f>
        <v>1.0337000000000001</v>
      </c>
      <c r="G42" s="2">
        <f>_xlfn.NUMBERVALUE(SUBSTITUTE(_xlfn.WEBSERVICE(_xlfn.CONCAT("http://172.31.103.65:5000/symbol/",$C42,"/ROE/raw")),".",",",1))</f>
        <v>0.39215179071450701</v>
      </c>
      <c r="H42" s="4">
        <f>_xlfn.NUMBERVALUE(SUBSTITUTE(_xlfn.WEBSERVICE(_xlfn.CONCAT("http://172.31.103.65:5000/symbol/",$C42,"/PERatio/raw")),".",",",1))</f>
        <v>38.560626999999997</v>
      </c>
      <c r="I42" s="5">
        <f>_xlfn.NUMBERVALUE(SUBSTITUTE(_xlfn.WEBSERVICE(_xlfn.CONCAT("http://172.31.103.65:5000/symbol/",$C42,"/discountToIntrinsicValueRatio/raw")),".",",",1))</f>
        <v>0.71791786631492005</v>
      </c>
      <c r="J42" t="str">
        <f>_xlfn.WEBSERVICE(_xlfn.CONCAT("http://172.31.103.65:5000/symbol/",$C42,"/recommendationKey/raw"))</f>
        <v>strong_buy</v>
      </c>
      <c r="K42" s="4">
        <f>_xlfn.NUMBERVALUE(_xlfn.WEBSERVICE(_xlfn.CONCAT("http://172.31.103.65:5000/symbol/",$C42,"/overallRisk/raw")))</f>
        <v>9</v>
      </c>
      <c r="L42" s="5">
        <f>_xlfn.NUMBERVALUE(SUBSTITUTE(_xlfn.WEBSERVICE(_xlfn.CONCAT("http://172.31.103.65:5000/symbol/",$C42,"/targetRatio/raw")),".",",",1))</f>
        <v>8.4171876734119994E-2</v>
      </c>
      <c r="M42" t="str">
        <f>_xlfn.WEBSERVICE(_xlfn.CONCAT("http://172.31.103.65:5000/symbol/",$C42,"/exDividendDate/raw"))</f>
        <v>07/07/2025</v>
      </c>
      <c r="N42" s="7">
        <f>_xlfn.NUMBERVALUE(SUBSTITUTE(SUBSTITUTE(_xlfn.WEBSERVICE(_xlfn.CONCAT("http://172.31.103.65:5000/symbol/",$C42,"/dividendRate/raw")),".",",",1),"-","0", 1))</f>
        <v>1.44</v>
      </c>
      <c r="O42" s="7">
        <f>_xlfn.NUMBERVALUE(SUBSTITUTE(_xlfn.WEBSERVICE(_xlfn.CONCAT("http://172.31.103.65:5000/symbol/",$C42,"/currentPrice/raw")),".",",",1))</f>
        <v>270.31</v>
      </c>
      <c r="P42" s="2">
        <f>N42/O42</f>
        <v>5.3272168991158296E-3</v>
      </c>
    </row>
    <row r="43" spans="1:16" x14ac:dyDescent="0.25">
      <c r="A43">
        <v>40</v>
      </c>
      <c r="B43" t="s">
        <v>22</v>
      </c>
      <c r="C43" t="s">
        <v>105</v>
      </c>
      <c r="D43" t="s">
        <v>106</v>
      </c>
      <c r="E43" s="2">
        <f>_xlfn.NUMBERVALUE(SUBSTITUTE(_xlfn.WEBSERVICE(_xlfn.CONCAT("http://172.31.103.65:5000/symbol/",$C43,"/annualGrowthRatio/raw")),".",",",1))</f>
        <v>0.51074971651410495</v>
      </c>
      <c r="F43" s="2">
        <f>_xlfn.NUMBERVALUE(SUBSTITUTE(_xlfn.WEBSERVICE(_xlfn.CONCAT("http://172.31.103.65:5000/symbol/",$C43,"/debtToEquityPercentage/raw")),".",",",1))/100</f>
        <v>1.3078899999999998</v>
      </c>
      <c r="G43" s="2">
        <f>_xlfn.NUMBERVALUE(SUBSTITUTE(_xlfn.WEBSERVICE(_xlfn.CONCAT("http://172.31.103.65:5000/symbol/",$C43,"/ROE/raw")),".",",",1))</f>
        <v>0.30858769746508002</v>
      </c>
      <c r="H43" s="4">
        <f>_xlfn.NUMBERVALUE(SUBSTITUTE(_xlfn.WEBSERVICE(_xlfn.CONCAT("http://172.31.103.65:5000/symbol/",$C43,"/PERatio/raw")),".",",",1))</f>
        <v>23.997897999999999</v>
      </c>
      <c r="I43" s="5">
        <f>_xlfn.NUMBERVALUE(SUBSTITUTE(_xlfn.WEBSERVICE(_xlfn.CONCAT("http://172.31.103.65:5000/symbol/",$C43,"/discountToIntrinsicValueRatio/raw")),".",",",1))</f>
        <v>-1.8232822540781</v>
      </c>
      <c r="J43" t="str">
        <f>_xlfn.WEBSERVICE(_xlfn.CONCAT("http://172.31.103.65:5000/symbol/",$C43,"/recommendationKey/raw"))</f>
        <v>buy</v>
      </c>
      <c r="K43" s="4">
        <f>_xlfn.NUMBERVALUE(_xlfn.WEBSERVICE(_xlfn.CONCAT("http://172.31.103.65:5000/symbol/",$C43,"/overallRisk/raw")))</f>
        <v>3</v>
      </c>
      <c r="L43" s="5">
        <f>_xlfn.NUMBERVALUE(SUBSTITUTE(_xlfn.WEBSERVICE(_xlfn.CONCAT("http://172.31.103.65:5000/symbol/",$C43,"/targetRatio/raw")),".",",",1))</f>
        <v>3.44379760133064E-2</v>
      </c>
      <c r="M43" t="str">
        <f>_xlfn.WEBSERVICE(_xlfn.CONCAT("http://172.31.103.65:5000/symbol/",$C43,"/exDividendDate/raw"))</f>
        <v>13/06/2025</v>
      </c>
      <c r="N43" s="7">
        <f>_xlfn.NUMBERVALUE(SUBSTITUTE(SUBSTITUTE(_xlfn.WEBSERVICE(_xlfn.CONCAT("http://172.31.103.65:5000/symbol/",$C43,"/dividendRate/raw")),".",",",1),"-","0", 1))</f>
        <v>3.16</v>
      </c>
      <c r="O43" s="7">
        <f>_xlfn.NUMBERVALUE(SUBSTITUTE(_xlfn.WEBSERVICE(_xlfn.CONCAT("http://172.31.103.65:5000/symbol/",$C43,"/currentPrice/raw")),".",",",1))</f>
        <v>114.23</v>
      </c>
      <c r="P43" s="2">
        <f>N43/O43</f>
        <v>2.7663485949400334E-2</v>
      </c>
    </row>
    <row r="44" spans="1:16" x14ac:dyDescent="0.25">
      <c r="A44">
        <v>41</v>
      </c>
      <c r="B44" t="s">
        <v>40</v>
      </c>
      <c r="C44" t="s">
        <v>107</v>
      </c>
      <c r="D44" t="s">
        <v>108</v>
      </c>
      <c r="E44" s="2">
        <f>_xlfn.NUMBERVALUE(SUBSTITUTE(_xlfn.WEBSERVICE(_xlfn.CONCAT("http://172.31.103.65:5000/symbol/",$C44,"/annualGrowthRatio/raw")),".",",",1))</f>
        <v>0.190560546368924</v>
      </c>
      <c r="F44" s="2">
        <f>_xlfn.NUMBERVALUE(SUBSTITUTE(_xlfn.WEBSERVICE(_xlfn.CONCAT("http://172.31.103.65:5000/symbol/",$C44,"/debtToEquityPercentage/raw")),".",",",1))/100</f>
        <v>2.0019100000000001</v>
      </c>
      <c r="G44" s="2">
        <f>_xlfn.NUMBERVALUE(SUBSTITUTE(_xlfn.WEBSERVICE(_xlfn.CONCAT("http://172.31.103.65:5000/symbol/",$C44,"/ROE/raw")),".",",",1))</f>
        <v>0.103437345509893</v>
      </c>
      <c r="H44" s="4">
        <f>_xlfn.NUMBERVALUE(SUBSTITUTE(_xlfn.WEBSERVICE(_xlfn.CONCAT("http://172.31.103.65:5000/symbol/",$C44,"/PERatio/raw")),".",",",1))</f>
        <v>7.9557250000000002</v>
      </c>
      <c r="I44" s="5">
        <f>_xlfn.NUMBERVALUE(SUBSTITUTE(_xlfn.WEBSERVICE(_xlfn.CONCAT("http://172.31.103.65:5000/symbol/",$C44,"/discountToIntrinsicValueRatio/raw")),".",",",1))</f>
        <v>1.1907847767587401</v>
      </c>
      <c r="J44" t="str">
        <f>_xlfn.WEBSERVICE(_xlfn.CONCAT("http://172.31.103.65:5000/symbol/",$C44,"/recommendationKey/raw"))</f>
        <v>buy</v>
      </c>
      <c r="K44" s="4">
        <f>_xlfn.NUMBERVALUE(_xlfn.WEBSERVICE(_xlfn.CONCAT("http://172.31.103.65:5000/symbol/",$C44,"/overallRisk/raw")))</f>
        <v>6</v>
      </c>
      <c r="L44" s="5">
        <f>_xlfn.NUMBERVALUE(SUBSTITUTE(_xlfn.WEBSERVICE(_xlfn.CONCAT("http://172.31.103.65:5000/symbol/",$C44,"/targetRatio/raw")),".",",",1))</f>
        <v>9.5766071771253097E-2</v>
      </c>
      <c r="M44" t="str">
        <f>_xlfn.WEBSERVICE(_xlfn.CONCAT("http://172.31.103.65:5000/symbol/",$C44,"/exDividendDate/raw"))</f>
        <v>05/09/2025</v>
      </c>
      <c r="N44" s="7">
        <f>_xlfn.NUMBERVALUE(SUBSTITUTE(SUBSTITUTE(_xlfn.WEBSERVICE(_xlfn.CONCAT("http://172.31.103.65:5000/symbol/",$C44,"/dividendRate/raw")),".",",",1),"-","0", 1))</f>
        <v>0.6</v>
      </c>
      <c r="O44" s="7">
        <f>_xlfn.NUMBERVALUE(SUBSTITUTE(_xlfn.WEBSERVICE(_xlfn.CONCAT("http://172.31.103.65:5000/symbol/",$C44,"/currentPrice/raw")),".",",",1))</f>
        <v>52.11</v>
      </c>
      <c r="P44" s="2">
        <f>N44/O44</f>
        <v>1.1514104778353483E-2</v>
      </c>
    </row>
    <row r="45" spans="1:16" x14ac:dyDescent="0.25">
      <c r="A45">
        <v>42</v>
      </c>
      <c r="B45" t="s">
        <v>65</v>
      </c>
      <c r="C45" t="s">
        <v>109</v>
      </c>
      <c r="D45" t="s">
        <v>110</v>
      </c>
      <c r="E45" s="2">
        <f>_xlfn.NUMBERVALUE(SUBSTITUTE(_xlfn.WEBSERVICE(_xlfn.CONCAT("http://172.31.103.65:5000/symbol/",$C45,"/annualGrowthRatio/raw")),".",",",1))</f>
        <v>0.148452230109093</v>
      </c>
      <c r="F45" s="2">
        <f>_xlfn.NUMBERVALUE(SUBSTITUTE(_xlfn.WEBSERVICE(_xlfn.CONCAT("http://172.31.103.65:5000/symbol/",$C45,"/debtToEquityPercentage/raw")),".",",",1))/100</f>
        <v>0.11481</v>
      </c>
      <c r="G45" s="2">
        <f>_xlfn.NUMBERVALUE(SUBSTITUTE(_xlfn.WEBSERVICE(_xlfn.CONCAT("http://172.31.103.65:5000/symbol/",$C45,"/ROE/raw")),".",",",1))</f>
        <v>0.35551733750046099</v>
      </c>
      <c r="H45" s="4">
        <f>_xlfn.NUMBERVALUE(SUBSTITUTE(_xlfn.WEBSERVICE(_xlfn.CONCAT("http://172.31.103.65:5000/symbol/",$C45,"/PERatio/raw")),".",",",1))</f>
        <v>20.941364</v>
      </c>
      <c r="I45" s="5">
        <f>_xlfn.NUMBERVALUE(SUBSTITUTE(_xlfn.WEBSERVICE(_xlfn.CONCAT("http://172.31.103.65:5000/symbol/",$C45,"/discountToIntrinsicValueRatio/raw")),".",",",1))</f>
        <v>0.60562401872798999</v>
      </c>
      <c r="J45" t="str">
        <f>_xlfn.WEBSERVICE(_xlfn.CONCAT("http://172.31.103.65:5000/symbol/",$C45,"/recommendationKey/raw"))</f>
        <v>buy</v>
      </c>
      <c r="K45" s="4" t="e">
        <f>_xlfn.NUMBERVALUE(_xlfn.WEBSERVICE(_xlfn.CONCAT("http://172.31.103.65:5000/symbol/",$C45,"/overallRisk/raw")))</f>
        <v>#VALUE!</v>
      </c>
      <c r="L45" s="5">
        <f>_xlfn.NUMBERVALUE(SUBSTITUTE(_xlfn.WEBSERVICE(_xlfn.CONCAT("http://172.31.103.65:5000/symbol/",$C45,"/targetRatio/raw")),".",",",1))</f>
        <v>0.101240492796415</v>
      </c>
      <c r="M45" t="str">
        <f>_xlfn.WEBSERVICE(_xlfn.CONCAT("http://172.31.103.65:5000/symbol/",$C45,"/exDividendDate/raw"))</f>
        <v>08/09/2025</v>
      </c>
      <c r="N45" s="7">
        <f>_xlfn.NUMBERVALUE(SUBSTITUTE(SUBSTITUTE(_xlfn.WEBSERVICE(_xlfn.CONCAT("http://172.31.103.65:5000/symbol/",$C45,"/dividendRate/raw")),".",",",1),"-","0", 1))</f>
        <v>0.84</v>
      </c>
      <c r="O45" s="7">
        <f>_xlfn.NUMBERVALUE(SUBSTITUTE(_xlfn.WEBSERVICE(_xlfn.CONCAT("http://172.31.103.65:5000/symbol/",$C45,"/currentPrice/raw")),".",",",1))</f>
        <v>196.43</v>
      </c>
      <c r="P45" s="2">
        <f>N45/O45</f>
        <v>4.2763325357633762E-3</v>
      </c>
    </row>
    <row r="46" spans="1:16" x14ac:dyDescent="0.25">
      <c r="A46">
        <v>43</v>
      </c>
      <c r="B46" t="s">
        <v>65</v>
      </c>
      <c r="C46" t="s">
        <v>111</v>
      </c>
      <c r="D46" t="s">
        <v>112</v>
      </c>
      <c r="E46" s="2">
        <f>_xlfn.NUMBERVALUE(SUBSTITUTE(_xlfn.WEBSERVICE(_xlfn.CONCAT("http://172.31.103.65:5000/symbol/",$C46,"/annualGrowthRatio/raw")),".",",",1))</f>
        <v>0.15507802986136199</v>
      </c>
      <c r="F46" s="2">
        <f>_xlfn.NUMBERVALUE(SUBSTITUTE(_xlfn.WEBSERVICE(_xlfn.CONCAT("http://172.31.103.65:5000/symbol/",$C46,"/debtToEquityPercentage/raw")),".",",",1))/100</f>
        <v>0.11481</v>
      </c>
      <c r="G46" s="2">
        <f>_xlfn.NUMBERVALUE(SUBSTITUTE(_xlfn.WEBSERVICE(_xlfn.CONCAT("http://172.31.103.65:5000/symbol/",$C46,"/ROE/raw")),".",",",1))</f>
        <v>0.35551733750046099</v>
      </c>
      <c r="H46" s="4">
        <f>_xlfn.NUMBERVALUE(SUBSTITUTE(_xlfn.WEBSERVICE(_xlfn.CONCAT("http://172.31.103.65:5000/symbol/",$C46,"/PERatio/raw")),".",",",1))</f>
        <v>20.868870000000001</v>
      </c>
      <c r="I46" s="5">
        <f>_xlfn.NUMBERVALUE(SUBSTITUTE(_xlfn.WEBSERVICE(_xlfn.CONCAT("http://172.31.103.65:5000/symbol/",$C46,"/discountToIntrinsicValueRatio/raw")),".",",",1))</f>
        <v>0.60698926674135301</v>
      </c>
      <c r="J46" t="str">
        <f>_xlfn.WEBSERVICE(_xlfn.CONCAT("http://172.31.103.65:5000/symbol/",$C46,"/recommendationKey/raw"))</f>
        <v>buy</v>
      </c>
      <c r="K46" s="4">
        <f>_xlfn.NUMBERVALUE(_xlfn.WEBSERVICE(_xlfn.CONCAT("http://172.31.103.65:5000/symbol/",$C46,"/overallRisk/raw")))</f>
        <v>10</v>
      </c>
      <c r="L46" s="5">
        <f>_xlfn.NUMBERVALUE(SUBSTITUTE(_xlfn.WEBSERVICE(_xlfn.CONCAT("http://172.31.103.65:5000/symbol/",$C46,"/targetRatio/raw")),".",",",1))</f>
        <v>0.10321931034482699</v>
      </c>
      <c r="M46" t="str">
        <f>_xlfn.WEBSERVICE(_xlfn.CONCAT("http://172.31.103.65:5000/symbol/",$C46,"/exDividendDate/raw"))</f>
        <v>08/09/2025</v>
      </c>
      <c r="N46" s="7">
        <f>_xlfn.NUMBERVALUE(SUBSTITUTE(SUBSTITUTE(_xlfn.WEBSERVICE(_xlfn.CONCAT("http://172.31.103.65:5000/symbol/",$C46,"/dividendRate/raw")),".",",",1),"-","0", 1))</f>
        <v>0.84</v>
      </c>
      <c r="O46" s="7">
        <f>_xlfn.NUMBERVALUE(SUBSTITUTE(_xlfn.WEBSERVICE(_xlfn.CONCAT("http://172.31.103.65:5000/symbol/",$C46,"/currentPrice/raw")),".",",",1))</f>
        <v>195.75</v>
      </c>
      <c r="P46" s="2">
        <f>N46/O46</f>
        <v>4.2911877394636016E-3</v>
      </c>
    </row>
    <row r="47" spans="1:16" x14ac:dyDescent="0.25">
      <c r="A47">
        <v>44</v>
      </c>
      <c r="B47" t="s">
        <v>31</v>
      </c>
      <c r="C47" t="s">
        <v>113</v>
      </c>
      <c r="D47" t="s">
        <v>114</v>
      </c>
      <c r="E47" s="2">
        <f>_xlfn.NUMBERVALUE(SUBSTITUTE(_xlfn.WEBSERVICE(_xlfn.CONCAT("http://172.31.103.65:5000/symbol/",$C47,"/annualGrowthRatio/raw")),".",",",1))</f>
        <v>0.47790830081512697</v>
      </c>
      <c r="F47" s="2">
        <f>_xlfn.NUMBERVALUE(SUBSTITUTE(_xlfn.WEBSERVICE(_xlfn.CONCAT("http://172.31.103.65:5000/symbol/",$C47,"/debtToEquityPercentage/raw")),".",",",1))/100</f>
        <v>5.3225800000000003</v>
      </c>
      <c r="G47" s="2">
        <f>_xlfn.NUMBERVALUE(SUBSTITUTE(_xlfn.WEBSERVICE(_xlfn.CONCAT("http://172.31.103.65:5000/symbol/",$C47,"/ROE/raw")),".",",",1))</f>
        <v>0.12056952844355499</v>
      </c>
      <c r="H47" s="4">
        <f>_xlfn.NUMBERVALUE(SUBSTITUTE(_xlfn.WEBSERVICE(_xlfn.CONCAT("http://172.31.103.65:5000/symbol/",$C47,"/PERatio/raw")),".",",",1))</f>
        <v>16.133568</v>
      </c>
      <c r="I47" s="5">
        <f>_xlfn.NUMBERVALUE(SUBSTITUTE(_xlfn.WEBSERVICE(_xlfn.CONCAT("http://172.31.103.65:5000/symbol/",$C47,"/discountToIntrinsicValueRatio/raw")),".",",",1))</f>
        <v>0.738515908633819</v>
      </c>
      <c r="J47" t="str">
        <f>_xlfn.WEBSERVICE(_xlfn.CONCAT("http://172.31.103.65:5000/symbol/",$C47,"/recommendationKey/raw"))</f>
        <v>hold</v>
      </c>
      <c r="K47" s="4">
        <f>_xlfn.NUMBERVALUE(_xlfn.WEBSERVICE(_xlfn.CONCAT("http://172.31.103.65:5000/symbol/",$C47,"/overallRisk/raw")))</f>
        <v>9</v>
      </c>
      <c r="L47" s="5">
        <f>_xlfn.NUMBERVALUE(SUBSTITUTE(_xlfn.WEBSERVICE(_xlfn.CONCAT("http://172.31.103.65:5000/symbol/",$C47,"/targetRatio/raw")),".",",",1))</f>
        <v>-3.7506079401076503E-2</v>
      </c>
      <c r="M47" t="str">
        <f>_xlfn.WEBSERVICE(_xlfn.CONCAT("http://172.31.103.65:5000/symbol/",$C47,"/exDividendDate/raw"))</f>
        <v>29/08/2025</v>
      </c>
      <c r="N47" s="7">
        <f>_xlfn.NUMBERVALUE(SUBSTITUTE(SUBSTITUTE(_xlfn.WEBSERVICE(_xlfn.CONCAT("http://172.31.103.65:5000/symbol/",$C47,"/dividendRate/raw")),".",",",1),"-","0", 1))</f>
        <v>16</v>
      </c>
      <c r="O47" s="7">
        <f>_xlfn.NUMBERVALUE(SUBSTITUTE(_xlfn.WEBSERVICE(_xlfn.CONCAT("http://172.31.103.65:5000/symbol/",$C47,"/currentPrice/raw")),".",",",1))</f>
        <v>731.98</v>
      </c>
      <c r="P47" s="2">
        <f>N47/O47</f>
        <v>2.1858520724609962E-2</v>
      </c>
    </row>
    <row r="48" spans="1:16" x14ac:dyDescent="0.25">
      <c r="A48">
        <v>45</v>
      </c>
      <c r="B48" t="s">
        <v>40</v>
      </c>
      <c r="C48" t="s">
        <v>115</v>
      </c>
      <c r="D48" t="s">
        <v>116</v>
      </c>
      <c r="E48" s="2">
        <f>_xlfn.NUMBERVALUE(SUBSTITUTE(_xlfn.WEBSERVICE(_xlfn.CONCAT("http://172.31.103.65:5000/symbol/",$C48,"/annualGrowthRatio/raw")),".",",",1))</f>
        <v>6.2552151060448605E-2</v>
      </c>
      <c r="F48" s="2">
        <f>_xlfn.NUMBERVALUE(SUBSTITUTE(_xlfn.WEBSERVICE(_xlfn.CONCAT("http://172.31.103.65:5000/symbol/",$C48,"/debtToEquityPercentage/raw")),".",",",1))/100</f>
        <v>7.7878099999999995</v>
      </c>
      <c r="G48" s="2">
        <f>_xlfn.NUMBERVALUE(SUBSTITUTE(_xlfn.WEBSERVICE(_xlfn.CONCAT("http://172.31.103.65:5000/symbol/",$C48,"/ROE/raw")),".",",",1))</f>
        <v>2.2046686072289101</v>
      </c>
      <c r="H48" s="4">
        <f>_xlfn.NUMBERVALUE(SUBSTITUTE(_xlfn.WEBSERVICE(_xlfn.CONCAT("http://172.31.103.65:5000/symbol/",$C48,"/PERatio/raw")),".",",",1))</f>
        <v>25.651937</v>
      </c>
      <c r="I48" s="5">
        <f>_xlfn.NUMBERVALUE(SUBSTITUTE(_xlfn.WEBSERVICE(_xlfn.CONCAT("http://172.31.103.65:5000/symbol/",$C48,"/discountToIntrinsicValueRatio/raw")),".",",",1))</f>
        <v>18.101291638341198</v>
      </c>
      <c r="J48" t="str">
        <f>_xlfn.WEBSERVICE(_xlfn.CONCAT("http://172.31.103.65:5000/symbol/",$C48,"/recommendationKey/raw"))</f>
        <v>buy</v>
      </c>
      <c r="K48" s="4">
        <f>_xlfn.NUMBERVALUE(_xlfn.WEBSERVICE(_xlfn.CONCAT("http://172.31.103.65:5000/symbol/",$C48,"/overallRisk/raw")))</f>
        <v>1</v>
      </c>
      <c r="L48" s="5">
        <f>_xlfn.NUMBERVALUE(SUBSTITUTE(_xlfn.WEBSERVICE(_xlfn.CONCAT("http://172.31.103.65:5000/symbol/",$C48,"/targetRatio/raw")),".",",",1))</f>
        <v>0.118978374940372</v>
      </c>
      <c r="M48" t="str">
        <f>_xlfn.WEBSERVICE(_xlfn.CONCAT("http://172.31.103.65:5000/symbol/",$C48,"/exDividendDate/raw"))</f>
        <v>05/06/2025</v>
      </c>
      <c r="N48" s="7">
        <f>_xlfn.NUMBERVALUE(SUBSTITUTE(SUBSTITUTE(_xlfn.WEBSERVICE(_xlfn.CONCAT("http://172.31.103.65:5000/symbol/",$C48,"/dividendRate/raw")),".",",",1),"-","0", 1))</f>
        <v>9.1999999999999993</v>
      </c>
      <c r="O48" s="7">
        <f>_xlfn.NUMBERVALUE(SUBSTITUTE(_xlfn.WEBSERVICE(_xlfn.CONCAT("http://172.31.103.65:5000/symbol/",$C48,"/currentPrice/raw")),".",",",1))</f>
        <v>377.34</v>
      </c>
      <c r="P48" s="2">
        <f>N48/O48</f>
        <v>2.4381194678539247E-2</v>
      </c>
    </row>
    <row r="49" spans="1:16" x14ac:dyDescent="0.25">
      <c r="A49">
        <v>46</v>
      </c>
      <c r="B49" t="s">
        <v>47</v>
      </c>
      <c r="C49" t="s">
        <v>117</v>
      </c>
      <c r="D49" t="s">
        <v>118</v>
      </c>
      <c r="E49" s="2">
        <f>_xlfn.NUMBERVALUE(SUBSTITUTE(_xlfn.WEBSERVICE(_xlfn.CONCAT("http://172.31.103.65:5000/symbol/",$C49,"/annualGrowthRatio/raw")),".",",",1))</f>
        <v>0.117155695024279</v>
      </c>
      <c r="F49" s="2">
        <f>_xlfn.NUMBERVALUE(SUBSTITUTE(_xlfn.WEBSERVICE(_xlfn.CONCAT("http://172.31.103.65:5000/symbol/",$C49,"/debtToEquityPercentage/raw")),".",",",1))/100</f>
        <v>2.2606000000000002</v>
      </c>
      <c r="G49" s="2">
        <f>_xlfn.NUMBERVALUE(SUBSTITUTE(_xlfn.WEBSERVICE(_xlfn.CONCAT("http://172.31.103.65:5000/symbol/",$C49,"/ROE/raw")),".",",",1))</f>
        <v>0.307051946506257</v>
      </c>
      <c r="H49" s="4">
        <f>_xlfn.NUMBERVALUE(SUBSTITUTE(_xlfn.WEBSERVICE(_xlfn.CONCAT("http://172.31.103.65:5000/symbol/",$C49,"/PERatio/raw")),".",",",1))</f>
        <v>25.195454000000002</v>
      </c>
      <c r="I49" s="5">
        <f>_xlfn.NUMBERVALUE(SUBSTITUTE(_xlfn.WEBSERVICE(_xlfn.CONCAT("http://172.31.103.65:5000/symbol/",$C49,"/discountToIntrinsicValueRatio/raw")),".",",",1))</f>
        <v>-0.56493506493506396</v>
      </c>
      <c r="J49" t="str">
        <f>_xlfn.WEBSERVICE(_xlfn.CONCAT("http://172.31.103.65:5000/symbol/",$C49,"/recommendationKey/raw"))</f>
        <v>buy</v>
      </c>
      <c r="K49" s="4">
        <f>_xlfn.NUMBERVALUE(_xlfn.WEBSERVICE(_xlfn.CONCAT("http://172.31.103.65:5000/symbol/",$C49,"/overallRisk/raw")))</f>
        <v>1</v>
      </c>
      <c r="L49" s="5">
        <f>_xlfn.NUMBERVALUE(SUBSTITUTE(_xlfn.WEBSERVICE(_xlfn.CONCAT("http://172.31.103.65:5000/symbol/",$C49,"/targetRatio/raw")),".",",",1))</f>
        <v>0.13474400144326101</v>
      </c>
      <c r="M49" t="str">
        <f>_xlfn.WEBSERVICE(_xlfn.CONCAT("http://172.31.103.65:5000/symbol/",$C49,"/exDividendDate/raw"))</f>
        <v>15/08/2025</v>
      </c>
      <c r="N49" s="7">
        <f>_xlfn.NUMBERVALUE(SUBSTITUTE(SUBSTITUTE(_xlfn.WEBSERVICE(_xlfn.CONCAT("http://172.31.103.65:5000/symbol/",$C49,"/dividendRate/raw")),".",",",1),"-","0", 1))</f>
        <v>4.5199999999999996</v>
      </c>
      <c r="O49" s="7">
        <f>_xlfn.NUMBERVALUE(SUBSTITUTE(_xlfn.WEBSERVICE(_xlfn.CONCAT("http://172.31.103.65:5000/symbol/",$C49,"/currentPrice/raw")),".",",",1))</f>
        <v>221.72</v>
      </c>
      <c r="P49" s="2">
        <f>N49/O49</f>
        <v>2.0386072523904022E-2</v>
      </c>
    </row>
    <row r="50" spans="1:16" x14ac:dyDescent="0.25">
      <c r="A50">
        <v>47</v>
      </c>
      <c r="B50" t="s">
        <v>19</v>
      </c>
      <c r="C50" t="s">
        <v>119</v>
      </c>
      <c r="D50" t="s">
        <v>119</v>
      </c>
      <c r="E50" s="2">
        <f>_xlfn.NUMBERVALUE(SUBSTITUTE(_xlfn.WEBSERVICE(_xlfn.CONCAT("http://172.31.103.65:5000/symbol/",$C50,"/annualGrowthRatio/raw")),".",",",1))</f>
        <v>0.41517945357108599</v>
      </c>
      <c r="F50" s="2">
        <f>_xlfn.NUMBERVALUE(SUBSTITUTE(_xlfn.WEBSERVICE(_xlfn.CONCAT("http://172.31.103.65:5000/symbol/",$C50,"/debtToEquityPercentage/raw")),".",",",1))/100</f>
        <v>2.45465</v>
      </c>
      <c r="G50" s="2">
        <f>_xlfn.NUMBERVALUE(SUBSTITUTE(_xlfn.WEBSERVICE(_xlfn.CONCAT("http://172.31.103.65:5000/symbol/",$C50,"/ROE/raw")),".",",",1))</f>
        <v>0.21452374380195499</v>
      </c>
      <c r="H50" s="4">
        <f>_xlfn.NUMBERVALUE(SUBSTITUTE(_xlfn.WEBSERVICE(_xlfn.CONCAT("http://172.31.103.65:5000/symbol/",$C50,"/PERatio/raw")),".",",",1))</f>
        <v>42.256039999999999</v>
      </c>
      <c r="I50" s="5">
        <f>_xlfn.NUMBERVALUE(SUBSTITUTE(_xlfn.WEBSERVICE(_xlfn.CONCAT("http://172.31.103.65:5000/symbol/",$C50,"/discountToIntrinsicValueRatio/raw")),".",",",1))</f>
        <v>3.7447866803120601E-2</v>
      </c>
      <c r="J50" t="str">
        <f>_xlfn.WEBSERVICE(_xlfn.CONCAT("http://172.31.103.65:5000/symbol/",$C50,"/recommendationKey/raw"))</f>
        <v>buy</v>
      </c>
      <c r="K50" s="4">
        <f>_xlfn.NUMBERVALUE(_xlfn.WEBSERVICE(_xlfn.CONCAT("http://172.31.103.65:5000/symbol/",$C50,"/overallRisk/raw")))</f>
        <v>7</v>
      </c>
      <c r="L50" s="5">
        <f>_xlfn.NUMBERVALUE(SUBSTITUTE(_xlfn.WEBSERVICE(_xlfn.CONCAT("http://172.31.103.65:5000/symbol/",$C50,"/targetRatio/raw")),".",",",1))</f>
        <v>6.5163141648565001E-2</v>
      </c>
      <c r="M50" t="str">
        <f>_xlfn.WEBSERVICE(_xlfn.CONCAT("http://172.31.103.65:5000/symbol/",$C50,"/exDividendDate/raw"))</f>
        <v>08/08/2025</v>
      </c>
      <c r="N50" s="7">
        <f>_xlfn.NUMBERVALUE(SUBSTITUTE(SUBSTITUTE(_xlfn.WEBSERVICE(_xlfn.CONCAT("http://172.31.103.65:5000/symbol/",$C50,"/dividendRate/raw")),".",",",1),"-","0", 1))</f>
        <v>6.72</v>
      </c>
      <c r="O50" s="7">
        <f>_xlfn.NUMBERVALUE(SUBSTITUTE(_xlfn.WEBSERVICE(_xlfn.CONCAT("http://172.31.103.65:5000/symbol/",$C50,"/currentPrice/raw")),".",",",1))</f>
        <v>262.41000000000003</v>
      </c>
      <c r="P50" s="2">
        <f>N50/O50</f>
        <v>2.5608780153195378E-2</v>
      </c>
    </row>
    <row r="51" spans="1:16" x14ac:dyDescent="0.25">
      <c r="A51">
        <v>48</v>
      </c>
      <c r="B51" t="s">
        <v>19</v>
      </c>
      <c r="C51" t="s">
        <v>120</v>
      </c>
      <c r="D51" t="s">
        <v>121</v>
      </c>
      <c r="E51" s="2">
        <f>_xlfn.NUMBERVALUE(SUBSTITUTE(_xlfn.WEBSERVICE(_xlfn.CONCAT("http://172.31.103.65:5000/symbol/",$C51,"/annualGrowthRatio/raw")),".",",",1))</f>
        <v>-0.318304892203842</v>
      </c>
      <c r="F51" s="2">
        <f>_xlfn.NUMBERVALUE(SUBSTITUTE(_xlfn.WEBSERVICE(_xlfn.CONCAT("http://172.31.103.65:5000/symbol/",$C51,"/debtToEquityPercentage/raw")),".",",",1))/100</f>
        <v>0.47997000000000001</v>
      </c>
      <c r="G51" s="2">
        <f>_xlfn.NUMBERVALUE(SUBSTITUTE(_xlfn.WEBSERVICE(_xlfn.CONCAT("http://172.31.103.65:5000/symbol/",$C51,"/ROE/raw")),".",",",1))</f>
        <v>-0.20654780408985501</v>
      </c>
      <c r="H51" s="4" t="e">
        <f>_xlfn.NUMBERVALUE(SUBSTITUTE(_xlfn.WEBSERVICE(_xlfn.CONCAT("http://172.31.103.65:5000/symbol/",$C51,"/PERatio/raw")),".",",",1))</f>
        <v>#VALUE!</v>
      </c>
      <c r="I51" s="5">
        <f>_xlfn.NUMBERVALUE(SUBSTITUTE(_xlfn.WEBSERVICE(_xlfn.CONCAT("http://172.31.103.65:5000/symbol/",$C51,"/discountToIntrinsicValueRatio/raw")),".",",",1))</f>
        <v>1.5033912936243601</v>
      </c>
      <c r="J51" t="str">
        <f>_xlfn.WEBSERVICE(_xlfn.CONCAT("http://172.31.103.65:5000/symbol/",$C51,"/recommendationKey/raw"))</f>
        <v>hold</v>
      </c>
      <c r="K51" s="4">
        <f>_xlfn.NUMBERVALUE(_xlfn.WEBSERVICE(_xlfn.CONCAT("http://172.31.103.65:5000/symbol/",$C51,"/overallRisk/raw")))</f>
        <v>6</v>
      </c>
      <c r="L51" s="5">
        <f>_xlfn.NUMBERVALUE(SUBSTITUTE(_xlfn.WEBSERVICE(_xlfn.CONCAT("http://172.31.103.65:5000/symbol/",$C51,"/targetRatio/raw")),".",",",1))</f>
        <v>7.5313081822636005E-2</v>
      </c>
      <c r="M51" t="str">
        <f>_xlfn.WEBSERVICE(_xlfn.CONCAT("http://172.31.103.65:5000/symbol/",$C51,"/exDividendDate/raw"))</f>
        <v>07/08/2024</v>
      </c>
      <c r="N51" s="7">
        <f>_xlfn.NUMBERVALUE(SUBSTITUTE(SUBSTITUTE(_xlfn.WEBSERVICE(_xlfn.CONCAT("http://172.31.103.65:5000/symbol/",$C51,"/dividendRate/raw")),".",",",1),"-","0", 1))</f>
        <v>0</v>
      </c>
      <c r="O51" s="7">
        <f>_xlfn.NUMBERVALUE(SUBSTITUTE(_xlfn.WEBSERVICE(_xlfn.CONCAT("http://172.31.103.65:5000/symbol/",$C51,"/currentPrice/raw")),".",",",1))</f>
        <v>20.41</v>
      </c>
      <c r="P51" s="2">
        <f>N51/O51</f>
        <v>0</v>
      </c>
    </row>
    <row r="52" spans="1:16" x14ac:dyDescent="0.25">
      <c r="A52">
        <v>49</v>
      </c>
      <c r="B52" t="s">
        <v>19</v>
      </c>
      <c r="C52" t="s">
        <v>122</v>
      </c>
      <c r="D52" t="s">
        <v>123</v>
      </c>
      <c r="E52" s="2">
        <f>_xlfn.NUMBERVALUE(SUBSTITUTE(_xlfn.WEBSERVICE(_xlfn.CONCAT("http://172.31.103.65:5000/symbol/",$C52,"/annualGrowthRatio/raw")),".",",",1))</f>
        <v>0.27641567573756198</v>
      </c>
      <c r="F52" s="2" t="e">
        <f>_xlfn.NUMBERVALUE(SUBSTITUTE(_xlfn.WEBSERVICE(_xlfn.CONCAT("http://172.31.103.65:5000/symbol/",$C52,"/debtToEquityPercentage/raw")),".",",",1))/100</f>
        <v>#VALUE!</v>
      </c>
      <c r="G52" s="2">
        <f>_xlfn.NUMBERVALUE(SUBSTITUTE(_xlfn.WEBSERVICE(_xlfn.CONCAT("http://172.31.103.65:5000/symbol/",$C52,"/ROE/raw")),".",",",1))</f>
        <v>0.188110219136472</v>
      </c>
      <c r="H52" s="4">
        <f>_xlfn.NUMBERVALUE(SUBSTITUTE(_xlfn.WEBSERVICE(_xlfn.CONCAT("http://172.31.103.65:5000/symbol/",$C52,"/PERatio/raw")),".",",",1))</f>
        <v>65.98527</v>
      </c>
      <c r="I52" s="5">
        <f>_xlfn.NUMBERVALUE(SUBSTITUTE(_xlfn.WEBSERVICE(_xlfn.CONCAT("http://172.31.103.65:5000/symbol/",$C52,"/discountToIntrinsicValueRatio/raw")),".",",",1))</f>
        <v>3.3152726333017402</v>
      </c>
      <c r="J52" t="str">
        <f>_xlfn.WEBSERVICE(_xlfn.CONCAT("http://172.31.103.65:5000/symbol/",$C52,"/recommendationKey/raw"))</f>
        <v>buy</v>
      </c>
      <c r="K52" s="4">
        <f>_xlfn.NUMBERVALUE(_xlfn.WEBSERVICE(_xlfn.CONCAT("http://172.31.103.65:5000/symbol/",$C52,"/overallRisk/raw")))</f>
        <v>1</v>
      </c>
      <c r="L52" s="5">
        <f>_xlfn.NUMBERVALUE(SUBSTITUTE(_xlfn.WEBSERVICE(_xlfn.CONCAT("http://172.31.103.65:5000/symbol/",$C52,"/targetRatio/raw")),".",",",1))</f>
        <v>2.2261949053749001E-2</v>
      </c>
      <c r="M52" t="str">
        <f>_xlfn.WEBSERVICE(_xlfn.CONCAT("http://172.31.103.65:5000/symbol/",$C52,"/exDividendDate/raw"))</f>
        <v>10/07/2025</v>
      </c>
      <c r="N52" s="7">
        <f>_xlfn.NUMBERVALUE(SUBSTITUTE(SUBSTITUTE(_xlfn.WEBSERVICE(_xlfn.CONCAT("http://172.31.103.65:5000/symbol/",$C52,"/dividendRate/raw")),".",",",1),"-","0", 1))</f>
        <v>4.16</v>
      </c>
      <c r="O52" s="7">
        <f>_xlfn.NUMBERVALUE(SUBSTITUTE(_xlfn.WEBSERVICE(_xlfn.CONCAT("http://172.31.103.65:5000/symbol/",$C52,"/currentPrice/raw")),".",",",1))</f>
        <v>806.34</v>
      </c>
      <c r="P52" s="2">
        <f>N52/O52</f>
        <v>5.159114021380559E-3</v>
      </c>
    </row>
    <row r="53" spans="1:16" x14ac:dyDescent="0.25">
      <c r="A53">
        <v>50</v>
      </c>
      <c r="B53" t="s">
        <v>22</v>
      </c>
      <c r="C53" t="s">
        <v>124</v>
      </c>
      <c r="D53" t="s">
        <v>125</v>
      </c>
      <c r="E53" s="2">
        <f>_xlfn.NUMBERVALUE(SUBSTITUTE(_xlfn.WEBSERVICE(_xlfn.CONCAT("http://172.31.103.65:5000/symbol/",$C53,"/annualGrowthRatio/raw")),".",",",1))</f>
        <v>0.14832789571394001</v>
      </c>
      <c r="F53" s="2" t="e">
        <f>_xlfn.NUMBERVALUE(SUBSTITUTE(_xlfn.WEBSERVICE(_xlfn.CONCAT("http://172.31.103.65:5000/symbol/",$C53,"/debtToEquityPercentage/raw")),".",",",1))/100</f>
        <v>#VALUE!</v>
      </c>
      <c r="G53" s="2">
        <f>_xlfn.NUMBERVALUE(SUBSTITUTE(_xlfn.WEBSERVICE(_xlfn.CONCAT("http://172.31.103.65:5000/symbol/",$C53,"/ROE/raw")),".",",",1))</f>
        <v>0.15867395218362201</v>
      </c>
      <c r="H53" s="4">
        <f>_xlfn.NUMBERVALUE(SUBSTITUTE(_xlfn.WEBSERVICE(_xlfn.CONCAT("http://172.31.103.65:5000/symbol/",$C53,"/PERatio/raw")),".",",",1))</f>
        <v>69.395250000000004</v>
      </c>
      <c r="I53" s="5">
        <f>_xlfn.NUMBERVALUE(SUBSTITUTE(_xlfn.WEBSERVICE(_xlfn.CONCAT("http://172.31.103.65:5000/symbol/",$C53,"/discountToIntrinsicValueRatio/raw")),".",",",1))</f>
        <v>-0.22823453799377</v>
      </c>
      <c r="J53" t="str">
        <f>_xlfn.WEBSERVICE(_xlfn.CONCAT("http://172.31.103.65:5000/symbol/",$C53,"/recommendationKey/raw"))</f>
        <v>buy</v>
      </c>
      <c r="K53" s="4">
        <f>_xlfn.NUMBERVALUE(_xlfn.WEBSERVICE(_xlfn.CONCAT("http://172.31.103.65:5000/symbol/",$C53,"/overallRisk/raw")))</f>
        <v>3</v>
      </c>
      <c r="L53" s="5">
        <f>_xlfn.NUMBERVALUE(SUBSTITUTE(_xlfn.WEBSERVICE(_xlfn.CONCAT("http://172.31.103.65:5000/symbol/",$C53,"/targetRatio/raw")),".",",",1))</f>
        <v>0.17462869563467201</v>
      </c>
      <c r="M53" t="str">
        <f>_xlfn.WEBSERVICE(_xlfn.CONCAT("http://172.31.103.65:5000/symbol/",$C53,"/exDividendDate/raw"))</f>
        <v>-</v>
      </c>
      <c r="N53" s="7">
        <f>_xlfn.NUMBERVALUE(SUBSTITUTE(SUBSTITUTE(_xlfn.WEBSERVICE(_xlfn.CONCAT("http://172.31.103.65:5000/symbol/",$C53,"/dividendRate/raw")),".",",",1),"-","0", 1))</f>
        <v>0</v>
      </c>
      <c r="O53" s="7">
        <f>_xlfn.NUMBERVALUE(SUBSTITUTE(_xlfn.WEBSERVICE(_xlfn.CONCAT("http://172.31.103.65:5000/symbol/",$C53,"/currentPrice/raw")),".",",",1))</f>
        <v>496.87</v>
      </c>
      <c r="P53" s="2">
        <f>N53/O53</f>
        <v>0</v>
      </c>
    </row>
    <row r="54" spans="1:16" x14ac:dyDescent="0.25">
      <c r="A54">
        <v>51</v>
      </c>
      <c r="B54" t="s">
        <v>22</v>
      </c>
      <c r="C54" t="s">
        <v>126</v>
      </c>
      <c r="D54" t="s">
        <v>127</v>
      </c>
      <c r="E54" s="2">
        <f>_xlfn.NUMBERVALUE(SUBSTITUTE(_xlfn.WEBSERVICE(_xlfn.CONCAT("http://172.31.103.65:5000/symbol/",$C54,"/annualGrowthRatio/raw")),".",",",1))</f>
        <v>7.5976817571736105E-2</v>
      </c>
      <c r="F54" s="2">
        <f>_xlfn.NUMBERVALUE(SUBSTITUTE(_xlfn.WEBSERVICE(_xlfn.CONCAT("http://172.31.103.65:5000/symbol/",$C54,"/debtToEquityPercentage/raw")),".",",",1))/100</f>
        <v>0.6468600000000001</v>
      </c>
      <c r="G54" s="2">
        <f>_xlfn.NUMBERVALUE(SUBSTITUTE(_xlfn.WEBSERVICE(_xlfn.CONCAT("http://172.31.103.65:5000/symbol/",$C54,"/ROE/raw")),".",",",1))</f>
        <v>0.31698138436144901</v>
      </c>
      <c r="H54" s="4">
        <f>_xlfn.NUMBERVALUE(SUBSTITUTE(_xlfn.WEBSERVICE(_xlfn.CONCAT("http://172.31.103.65:5000/symbol/",$C54,"/PERatio/raw")),".",",",1))</f>
        <v>17.998930000000001</v>
      </c>
      <c r="I54" s="5">
        <f>_xlfn.NUMBERVALUE(SUBSTITUTE(_xlfn.WEBSERVICE(_xlfn.CONCAT("http://172.31.103.65:5000/symbol/",$C54,"/discountToIntrinsicValueRatio/raw")),".",",",1))</f>
        <v>0.60786646326386795</v>
      </c>
      <c r="J54" t="str">
        <f>_xlfn.WEBSERVICE(_xlfn.CONCAT("http://172.31.103.65:5000/symbol/",$C54,"/recommendationKey/raw"))</f>
        <v>buy</v>
      </c>
      <c r="K54" s="4">
        <f>_xlfn.NUMBERVALUE(_xlfn.WEBSERVICE(_xlfn.CONCAT("http://172.31.103.65:5000/symbol/",$C54,"/overallRisk/raw")))</f>
        <v>4</v>
      </c>
      <c r="L54" s="5">
        <f>_xlfn.NUMBERVALUE(SUBSTITUTE(_xlfn.WEBSERVICE(_xlfn.CONCAT("http://172.31.103.65:5000/symbol/",$C54,"/targetRatio/raw")),".",",",1))</f>
        <v>4.5906073404318501E-2</v>
      </c>
      <c r="M54" t="str">
        <f>_xlfn.WEBSERVICE(_xlfn.CONCAT("http://172.31.103.65:5000/symbol/",$C54,"/exDividendDate/raw"))</f>
        <v>26/08/2025</v>
      </c>
      <c r="N54" s="7">
        <f>_xlfn.NUMBERVALUE(SUBSTITUTE(SUBSTITUTE(_xlfn.WEBSERVICE(_xlfn.CONCAT("http://172.31.103.65:5000/symbol/",$C54,"/dividendRate/raw")),".",",",1),"-","0", 1))</f>
        <v>5.2</v>
      </c>
      <c r="O54" s="7">
        <f>_xlfn.NUMBERVALUE(SUBSTITUTE(_xlfn.WEBSERVICE(_xlfn.CONCAT("http://172.31.103.65:5000/symbol/",$C54,"/currentPrice/raw")),".",",",1))</f>
        <v>168.11</v>
      </c>
      <c r="P54" s="2">
        <f>N54/O54</f>
        <v>3.0932127773481647E-2</v>
      </c>
    </row>
    <row r="55" spans="1:16" x14ac:dyDescent="0.25">
      <c r="A55">
        <v>52</v>
      </c>
      <c r="B55" t="s">
        <v>31</v>
      </c>
      <c r="C55" t="s">
        <v>128</v>
      </c>
      <c r="D55" t="s">
        <v>129</v>
      </c>
      <c r="E55" s="2">
        <f>_xlfn.NUMBERVALUE(SUBSTITUTE(_xlfn.WEBSERVICE(_xlfn.CONCAT("http://172.31.103.65:5000/symbol/",$C55,"/annualGrowthRatio/raw")),".",",",1))</f>
        <v>0.41135865252998599</v>
      </c>
      <c r="F55" s="2" t="e">
        <f>_xlfn.NUMBERVALUE(SUBSTITUTE(_xlfn.WEBSERVICE(_xlfn.CONCAT("http://172.31.103.65:5000/symbol/",$C55,"/debtToEquityPercentage/raw")),".",",",1))/100</f>
        <v>#VALUE!</v>
      </c>
      <c r="G55" s="2">
        <f>_xlfn.NUMBERVALUE(SUBSTITUTE(_xlfn.WEBSERVICE(_xlfn.CONCAT("http://172.31.103.65:5000/symbol/",$C55,"/ROE/raw")),".",",",1))</f>
        <v>0.159981782282064</v>
      </c>
      <c r="H55" s="4">
        <f>_xlfn.NUMBERVALUE(SUBSTITUTE(_xlfn.WEBSERVICE(_xlfn.CONCAT("http://172.31.103.65:5000/symbol/",$C55,"/PERatio/raw")),".",",",1))</f>
        <v>15.225013000000001</v>
      </c>
      <c r="I55" s="5">
        <f>_xlfn.NUMBERVALUE(SUBSTITUTE(_xlfn.WEBSERVICE(_xlfn.CONCAT("http://172.31.103.65:5000/symbol/",$C55,"/discountToIntrinsicValueRatio/raw")),".",",",1))</f>
        <v>1.75000063122864</v>
      </c>
      <c r="J55" t="str">
        <f>_xlfn.WEBSERVICE(_xlfn.CONCAT("http://172.31.103.65:5000/symbol/",$C55,"/recommendationKey/raw"))</f>
        <v>buy</v>
      </c>
      <c r="K55" s="4">
        <f>_xlfn.NUMBERVALUE(_xlfn.WEBSERVICE(_xlfn.CONCAT("http://172.31.103.65:5000/symbol/",$C55,"/overallRisk/raw")))</f>
        <v>5</v>
      </c>
      <c r="L55" s="5">
        <f>_xlfn.NUMBERVALUE(SUBSTITUTE(_xlfn.WEBSERVICE(_xlfn.CONCAT("http://172.31.103.65:5000/symbol/",$C55,"/targetRatio/raw")),".",",",1))</f>
        <v>2.1985018852679599E-2</v>
      </c>
      <c r="M55" t="str">
        <f>_xlfn.WEBSERVICE(_xlfn.CONCAT("http://172.31.103.65:5000/symbol/",$C55,"/exDividendDate/raw"))</f>
        <v>03/07/2025</v>
      </c>
      <c r="N55" s="7">
        <f>_xlfn.NUMBERVALUE(SUBSTITUTE(SUBSTITUTE(_xlfn.WEBSERVICE(_xlfn.CONCAT("http://172.31.103.65:5000/symbol/",$C55,"/dividendRate/raw")),".",",",1),"-","0", 1))</f>
        <v>5.6</v>
      </c>
      <c r="O55" s="7">
        <f>_xlfn.NUMBERVALUE(SUBSTITUTE(_xlfn.WEBSERVICE(_xlfn.CONCAT("http://172.31.103.65:5000/symbol/",$C55,"/currentPrice/raw")),".",",",1))</f>
        <v>297.04000000000002</v>
      </c>
      <c r="P55" s="2">
        <f>N55/O55</f>
        <v>1.8852679773767839E-2</v>
      </c>
    </row>
    <row r="56" spans="1:16" x14ac:dyDescent="0.25">
      <c r="A56">
        <v>53</v>
      </c>
      <c r="B56" t="s">
        <v>68</v>
      </c>
      <c r="C56" t="s">
        <v>130</v>
      </c>
      <c r="D56" t="s">
        <v>131</v>
      </c>
      <c r="E56" s="2">
        <f>_xlfn.NUMBERVALUE(SUBSTITUTE(_xlfn.WEBSERVICE(_xlfn.CONCAT("http://172.31.103.65:5000/symbol/",$C56,"/annualGrowthRatio/raw")),".",",",1))</f>
        <v>5.5097714393517197E-2</v>
      </c>
      <c r="F56" s="2">
        <f>_xlfn.NUMBERVALUE(SUBSTITUTE(_xlfn.WEBSERVICE(_xlfn.CONCAT("http://172.31.103.65:5000/symbol/",$C56,"/debtToEquityPercentage/raw")),".",",",1))/100</f>
        <v>1.66367</v>
      </c>
      <c r="G56" s="2">
        <f>_xlfn.NUMBERVALUE(SUBSTITUTE(_xlfn.WEBSERVICE(_xlfn.CONCAT("http://172.31.103.65:5000/symbol/",$C56,"/ROE/raw")),".",",",1))</f>
        <v>0.49014322755069201</v>
      </c>
      <c r="H56" s="4">
        <f>_xlfn.NUMBERVALUE(SUBSTITUTE(_xlfn.WEBSERVICE(_xlfn.CONCAT("http://172.31.103.65:5000/symbol/",$C56,"/PERatio/raw")),".",",",1))</f>
        <v>24.602837000000001</v>
      </c>
      <c r="I56" s="5">
        <f>_xlfn.NUMBERVALUE(SUBSTITUTE(_xlfn.WEBSERVICE(_xlfn.CONCAT("http://172.31.103.65:5000/symbol/",$C56,"/discountToIntrinsicValueRatio/raw")),".",",",1))</f>
        <v>0.80013942421257001</v>
      </c>
      <c r="J56" t="str">
        <f>_xlfn.WEBSERVICE(_xlfn.CONCAT("http://172.31.103.65:5000/symbol/",$C56,"/recommendationKey/raw"))</f>
        <v>buy</v>
      </c>
      <c r="K56" s="4">
        <f>_xlfn.NUMBERVALUE(_xlfn.WEBSERVICE(_xlfn.CONCAT("http://172.31.103.65:5000/symbol/",$C56,"/overallRisk/raw")))</f>
        <v>2</v>
      </c>
      <c r="L56" s="5">
        <f>_xlfn.NUMBERVALUE(SUBSTITUTE(_xlfn.WEBSERVICE(_xlfn.CONCAT("http://172.31.103.65:5000/symbol/",$C56,"/targetRatio/raw")),".",",",1))</f>
        <v>0.13802997982127399</v>
      </c>
      <c r="M56" t="str">
        <f>_xlfn.WEBSERVICE(_xlfn.CONCAT("http://172.31.103.65:5000/symbol/",$C56,"/exDividendDate/raw"))</f>
        <v>15/09/2025</v>
      </c>
      <c r="N56" s="7">
        <f>_xlfn.NUMBERVALUE(SUBSTITUTE(SUBSTITUTE(_xlfn.WEBSERVICE(_xlfn.CONCAT("http://172.31.103.65:5000/symbol/",$C56,"/dividendRate/raw")),".",",",1),"-","0", 1))</f>
        <v>2.04</v>
      </c>
      <c r="O56" s="7">
        <f>_xlfn.NUMBERVALUE(SUBSTITUTE(_xlfn.WEBSERVICE(_xlfn.CONCAT("http://172.31.103.65:5000/symbol/",$C56,"/currentPrice/raw")),".",",",1))</f>
        <v>69.38</v>
      </c>
      <c r="P56" s="2">
        <f>N56/O56</f>
        <v>2.9403286249639667E-2</v>
      </c>
    </row>
    <row r="57" spans="1:16" x14ac:dyDescent="0.25">
      <c r="A57">
        <v>54</v>
      </c>
      <c r="B57" t="s">
        <v>132</v>
      </c>
      <c r="C57" t="s">
        <v>133</v>
      </c>
      <c r="D57" t="s">
        <v>134</v>
      </c>
      <c r="E57" s="2">
        <f>_xlfn.NUMBERVALUE(SUBSTITUTE(_xlfn.WEBSERVICE(_xlfn.CONCAT("http://172.31.103.65:5000/symbol/",$C57,"/annualGrowthRatio/raw")),".",",",1))</f>
        <v>5.8957561684236E-2</v>
      </c>
      <c r="F57" s="2">
        <f>_xlfn.NUMBERVALUE(SUBSTITUTE(_xlfn.WEBSERVICE(_xlfn.CONCAT("http://172.31.103.65:5000/symbol/",$C57,"/debtToEquityPercentage/raw")),".",",",1))/100</f>
        <v>0.60555000000000003</v>
      </c>
      <c r="G57" s="2">
        <f>_xlfn.NUMBERVALUE(SUBSTITUTE(_xlfn.WEBSERVICE(_xlfn.CONCAT("http://172.31.103.65:5000/symbol/",$C57,"/ROE/raw")),".",",",1))</f>
        <v>0.17355349700724501</v>
      </c>
      <c r="H57" s="4">
        <f>_xlfn.NUMBERVALUE(SUBSTITUTE(_xlfn.WEBSERVICE(_xlfn.CONCAT("http://172.31.103.65:5000/symbol/",$C57,"/PERatio/raw")),".",",",1))</f>
        <v>34.192169999999997</v>
      </c>
      <c r="I57" s="5">
        <f>_xlfn.NUMBERVALUE(SUBSTITUTE(_xlfn.WEBSERVICE(_xlfn.CONCAT("http://172.31.103.65:5000/symbol/",$C57,"/discountToIntrinsicValueRatio/raw")),".",",",1))</f>
        <v>-0.88907006838969604</v>
      </c>
      <c r="J57" t="str">
        <f>_xlfn.WEBSERVICE(_xlfn.CONCAT("http://172.31.103.65:5000/symbol/",$C57,"/recommendationKey/raw"))</f>
        <v>buy</v>
      </c>
      <c r="K57" s="4">
        <f>_xlfn.NUMBERVALUE(_xlfn.WEBSERVICE(_xlfn.CONCAT("http://172.31.103.65:5000/symbol/",$C57,"/overallRisk/raw")))</f>
        <v>5</v>
      </c>
      <c r="L57" s="5">
        <f>_xlfn.NUMBERVALUE(SUBSTITUTE(_xlfn.WEBSERVICE(_xlfn.CONCAT("http://172.31.103.65:5000/symbol/",$C57,"/targetRatio/raw")),".",",",1))</f>
        <v>6.0611821594451901E-2</v>
      </c>
      <c r="M57" t="str">
        <f>_xlfn.WEBSERVICE(_xlfn.CONCAT("http://172.31.103.65:5000/symbol/",$C57,"/exDividendDate/raw"))</f>
        <v>04/06/2025</v>
      </c>
      <c r="N57" s="7">
        <f>_xlfn.NUMBERVALUE(SUBSTITUTE(SUBSTITUTE(_xlfn.WEBSERVICE(_xlfn.CONCAT("http://172.31.103.65:5000/symbol/",$C57,"/dividendRate/raw")),".",",",1),"-","0", 1))</f>
        <v>6</v>
      </c>
      <c r="O57" s="7">
        <f>_xlfn.NUMBERVALUE(SUBSTITUTE(_xlfn.WEBSERVICE(_xlfn.CONCAT("http://172.31.103.65:5000/symbol/",$C57,"/currentPrice/raw")),".",",",1))</f>
        <v>471.51</v>
      </c>
      <c r="P57" s="2">
        <f>N57/O57</f>
        <v>1.2725074759814214E-2</v>
      </c>
    </row>
    <row r="58" spans="1:16" x14ac:dyDescent="0.25">
      <c r="A58">
        <v>55</v>
      </c>
      <c r="B58" t="s">
        <v>22</v>
      </c>
      <c r="C58" t="s">
        <v>135</v>
      </c>
      <c r="D58" t="s">
        <v>136</v>
      </c>
      <c r="E58" s="2">
        <f>_xlfn.NUMBERVALUE(SUBSTITUTE(_xlfn.WEBSERVICE(_xlfn.CONCAT("http://172.31.103.65:5000/symbol/",$C58,"/annualGrowthRatio/raw")),".",",",1))</f>
        <v>-2.7889178409732599E-2</v>
      </c>
      <c r="F58" s="2">
        <f>_xlfn.NUMBERVALUE(SUBSTITUTE(_xlfn.WEBSERVICE(_xlfn.CONCAT("http://172.31.103.65:5000/symbol/",$C58,"/debtToEquityPercentage/raw")),".",",",1))/100</f>
        <v>2.4360900000000001</v>
      </c>
      <c r="G58" s="2">
        <f>_xlfn.NUMBERVALUE(SUBSTITUTE(_xlfn.WEBSERVICE(_xlfn.CONCAT("http://172.31.103.65:5000/symbol/",$C58,"/ROE/raw")),".",",",1))</f>
        <v>0.78257624002085602</v>
      </c>
      <c r="H58" s="4">
        <f>_xlfn.NUMBERVALUE(SUBSTITUTE(_xlfn.WEBSERVICE(_xlfn.CONCAT("http://172.31.103.65:5000/symbol/",$C58,"/PERatio/raw")),".",",",1))</f>
        <v>62.129482000000003</v>
      </c>
      <c r="I58" s="5">
        <f>_xlfn.NUMBERVALUE(SUBSTITUTE(_xlfn.WEBSERVICE(_xlfn.CONCAT("http://172.31.103.65:5000/symbol/",$C58,"/discountToIntrinsicValueRatio/raw")),".",",",1))</f>
        <v>-0.12349871297218</v>
      </c>
      <c r="J58" t="str">
        <f>_xlfn.WEBSERVICE(_xlfn.CONCAT("http://172.31.103.65:5000/symbol/",$C58,"/recommendationKey/raw"))</f>
        <v>buy</v>
      </c>
      <c r="K58" s="4">
        <f>_xlfn.NUMBERVALUE(_xlfn.WEBSERVICE(_xlfn.CONCAT("http://172.31.103.65:5000/symbol/",$C58,"/overallRisk/raw")))</f>
        <v>8</v>
      </c>
      <c r="L58" s="5">
        <f>_xlfn.NUMBERVALUE(SUBSTITUTE(_xlfn.WEBSERVICE(_xlfn.CONCAT("http://172.31.103.65:5000/symbol/",$C58,"/targetRatio/raw")),".",",",1))</f>
        <v>0.26180711711121202</v>
      </c>
      <c r="M58" t="str">
        <f>_xlfn.WEBSERVICE(_xlfn.CONCAT("http://172.31.103.65:5000/symbol/",$C58,"/exDividendDate/raw"))</f>
        <v>15/08/2025</v>
      </c>
      <c r="N58" s="7">
        <f>_xlfn.NUMBERVALUE(SUBSTITUTE(SUBSTITUTE(_xlfn.WEBSERVICE(_xlfn.CONCAT("http://172.31.103.65:5000/symbol/",$C58,"/dividendRate/raw")),".",",",1),"-","0", 1))</f>
        <v>6</v>
      </c>
      <c r="O58" s="7">
        <f>_xlfn.NUMBERVALUE(SUBSTITUTE(_xlfn.WEBSERVICE(_xlfn.CONCAT("http://172.31.103.65:5000/symbol/",$C58,"/currentPrice/raw")),".",",",1))</f>
        <v>762.95</v>
      </c>
      <c r="P58" s="2">
        <f>N58/O58</f>
        <v>7.8642112851431932E-3</v>
      </c>
    </row>
    <row r="59" spans="1:16" x14ac:dyDescent="0.25">
      <c r="A59">
        <v>56</v>
      </c>
      <c r="B59" t="s">
        <v>47</v>
      </c>
      <c r="C59" t="s">
        <v>137</v>
      </c>
      <c r="D59" t="s">
        <v>138</v>
      </c>
      <c r="E59" s="2">
        <f>_xlfn.NUMBERVALUE(SUBSTITUTE(_xlfn.WEBSERVICE(_xlfn.CONCAT("http://172.31.103.65:5000/symbol/",$C59,"/annualGrowthRatio/raw")),".",",",1))</f>
        <v>-0.19798678825129301</v>
      </c>
      <c r="F59" s="2">
        <f>_xlfn.NUMBERVALUE(SUBSTITUTE(_xlfn.WEBSERVICE(_xlfn.CONCAT("http://172.31.103.65:5000/symbol/",$C59,"/debtToEquityPercentage/raw")),".",",",1))/100</f>
        <v>4.0566199999999997</v>
      </c>
      <c r="G59" s="2">
        <f>_xlfn.NUMBERVALUE(SUBSTITUTE(_xlfn.WEBSERVICE(_xlfn.CONCAT("http://172.31.103.65:5000/symbol/",$C59,"/ROE/raw")),".",",",1))</f>
        <v>0.66382441181114704</v>
      </c>
      <c r="H59" s="4">
        <f>_xlfn.NUMBERVALUE(SUBSTITUTE(_xlfn.WEBSERVICE(_xlfn.CONCAT("http://172.31.103.65:5000/symbol/",$C59,"/PERatio/raw")),".",",",1))</f>
        <v>23.576319000000002</v>
      </c>
      <c r="I59" s="5">
        <f>_xlfn.NUMBERVALUE(SUBSTITUTE(_xlfn.WEBSERVICE(_xlfn.CONCAT("http://172.31.103.65:5000/symbol/",$C59,"/discountToIntrinsicValueRatio/raw")),".",",",1))</f>
        <v>1.1583365933041301</v>
      </c>
      <c r="J59" t="str">
        <f>_xlfn.WEBSERVICE(_xlfn.CONCAT("http://172.31.103.65:5000/symbol/",$C59,"/recommendationKey/raw"))</f>
        <v>buy</v>
      </c>
      <c r="K59" s="4">
        <f>_xlfn.NUMBERVALUE(_xlfn.WEBSERVICE(_xlfn.CONCAT("http://172.31.103.65:5000/symbol/",$C59,"/overallRisk/raw")))</f>
        <v>5</v>
      </c>
      <c r="L59" s="5">
        <f>_xlfn.NUMBERVALUE(SUBSTITUTE(_xlfn.WEBSERVICE(_xlfn.CONCAT("http://172.31.103.65:5000/symbol/",$C59,"/targetRatio/raw")),".",",",1))</f>
        <v>0.171780163282793</v>
      </c>
      <c r="M59" t="str">
        <f>_xlfn.WEBSERVICE(_xlfn.CONCAT("http://172.31.103.65:5000/symbol/",$C59,"/exDividendDate/raw"))</f>
        <v>02/09/2025</v>
      </c>
      <c r="N59" s="7">
        <f>_xlfn.NUMBERVALUE(SUBSTITUTE(SUBSTITUTE(_xlfn.WEBSERVICE(_xlfn.CONCAT("http://172.31.103.65:5000/symbol/",$C59,"/dividendRate/raw")),".",",",1),"-","0", 1))</f>
        <v>13.2</v>
      </c>
      <c r="O59" s="7">
        <f>_xlfn.NUMBERVALUE(SUBSTITUTE(_xlfn.WEBSERVICE(_xlfn.CONCAT("http://172.31.103.65:5000/symbol/",$C59,"/currentPrice/raw")),".",",",1))</f>
        <v>420.13</v>
      </c>
      <c r="P59" s="2">
        <f>N59/O59</f>
        <v>3.1418846547497201E-2</v>
      </c>
    </row>
    <row r="60" spans="1:16" x14ac:dyDescent="0.25">
      <c r="A60">
        <v>57</v>
      </c>
      <c r="B60" t="s">
        <v>40</v>
      </c>
      <c r="C60" t="s">
        <v>139</v>
      </c>
      <c r="D60" t="s">
        <v>140</v>
      </c>
      <c r="E60" s="2">
        <f>_xlfn.NUMBERVALUE(SUBSTITUTE(_xlfn.WEBSERVICE(_xlfn.CONCAT("http://172.31.103.65:5000/symbol/",$C60,"/annualGrowthRatio/raw")),".",",",1))</f>
        <v>-2.8623485532542198E-2</v>
      </c>
      <c r="F60" s="2" t="e">
        <f>_xlfn.NUMBERVALUE(SUBSTITUTE(_xlfn.WEBSERVICE(_xlfn.CONCAT("http://172.31.103.65:5000/symbol/",$C60,"/debtToEquityPercentage/raw")),".",",",1))/100</f>
        <v>#VALUE!</v>
      </c>
      <c r="G60" s="2">
        <f>_xlfn.NUMBERVALUE(SUBSTITUTE(_xlfn.WEBSERVICE(_xlfn.CONCAT("http://172.31.103.65:5000/symbol/",$C60,"/ROE/raw")),".",",",1))</f>
        <v>-0.47965707764738902</v>
      </c>
      <c r="H60" s="4">
        <f>_xlfn.NUMBERVALUE(SUBSTITUTE(_xlfn.WEBSERVICE(_xlfn.CONCAT("http://172.31.103.65:5000/symbol/",$C60,"/PERatio/raw")),".",",",1))</f>
        <v>19.011569999999999</v>
      </c>
      <c r="I60" s="5">
        <f>_xlfn.NUMBERVALUE(SUBSTITUTE(_xlfn.WEBSERVICE(_xlfn.CONCAT("http://172.31.103.65:5000/symbol/",$C60,"/discountToIntrinsicValueRatio/raw")),".",",",1))</f>
        <v>28.159386068477001</v>
      </c>
      <c r="J60" t="str">
        <f>_xlfn.WEBSERVICE(_xlfn.CONCAT("http://172.31.103.65:5000/symbol/",$C60,"/recommendationKey/raw"))</f>
        <v>buy</v>
      </c>
      <c r="K60" s="4">
        <f>_xlfn.NUMBERVALUE(_xlfn.WEBSERVICE(_xlfn.CONCAT("http://172.31.103.65:5000/symbol/",$C60,"/overallRisk/raw")))</f>
        <v>4</v>
      </c>
      <c r="L60" s="5">
        <f>_xlfn.NUMBERVALUE(SUBSTITUTE(_xlfn.WEBSERVICE(_xlfn.CONCAT("http://172.31.103.65:5000/symbol/",$C60,"/targetRatio/raw")),".",",",1))</f>
        <v>0.14650469483567999</v>
      </c>
      <c r="M60" t="str">
        <f>_xlfn.WEBSERVICE(_xlfn.CONCAT("http://172.31.103.65:5000/symbol/",$C60,"/exDividendDate/raw"))</f>
        <v>23/07/2025</v>
      </c>
      <c r="N60" s="7">
        <f>_xlfn.NUMBERVALUE(SUBSTITUTE(SUBSTITUTE(_xlfn.WEBSERVICE(_xlfn.CONCAT("http://172.31.103.65:5000/symbol/",$C60,"/dividendRate/raw")),".",",",1),"-","0", 1))</f>
        <v>4.8</v>
      </c>
      <c r="O60" s="7">
        <f>_xlfn.NUMBERVALUE(SUBSTITUTE(_xlfn.WEBSERVICE(_xlfn.CONCAT("http://172.31.103.65:5000/symbol/",$C60,"/currentPrice/raw")),".",",",1))</f>
        <v>230.04</v>
      </c>
      <c r="P60" s="2">
        <f>N60/O60</f>
        <v>2.0865936358894107E-2</v>
      </c>
    </row>
    <row r="61" spans="1:16" x14ac:dyDescent="0.25">
      <c r="A61">
        <v>58</v>
      </c>
      <c r="B61" t="s">
        <v>31</v>
      </c>
      <c r="C61" t="s">
        <v>141</v>
      </c>
      <c r="D61" t="s">
        <v>142</v>
      </c>
      <c r="E61" s="2">
        <f>_xlfn.NUMBERVALUE(SUBSTITUTE(_xlfn.WEBSERVICE(_xlfn.CONCAT("http://172.31.103.65:5000/symbol/",$C61,"/annualGrowthRatio/raw")),".",",",1))</f>
        <v>0.26620146073444401</v>
      </c>
      <c r="F61" s="2">
        <f>_xlfn.NUMBERVALUE(SUBSTITUTE(_xlfn.WEBSERVICE(_xlfn.CONCAT("http://172.31.103.65:5000/symbol/",$C61,"/debtToEquityPercentage/raw")),".",",",1))/100</f>
        <v>2.8079499999999999</v>
      </c>
      <c r="G61" s="2">
        <f>_xlfn.NUMBERVALUE(SUBSTITUTE(_xlfn.WEBSERVICE(_xlfn.CONCAT("http://172.31.103.65:5000/symbol/",$C61,"/ROE/raw")),".",",",1))</f>
        <v>2.0266769566692302</v>
      </c>
      <c r="H61" s="4">
        <f>_xlfn.NUMBERVALUE(SUBSTITUTE(_xlfn.WEBSERVICE(_xlfn.CONCAT("http://172.31.103.65:5000/symbol/",$C61,"/PERatio/raw")),".",",",1))</f>
        <v>39.503506000000002</v>
      </c>
      <c r="I61" s="5">
        <f>_xlfn.NUMBERVALUE(SUBSTITUTE(_xlfn.WEBSERVICE(_xlfn.CONCAT("http://172.31.103.65:5000/symbol/",$C61,"/discountToIntrinsicValueRatio/raw")),".",",",1))</f>
        <v>-0.25407956544001398</v>
      </c>
      <c r="J61" t="str">
        <f>_xlfn.WEBSERVICE(_xlfn.CONCAT("http://172.31.103.65:5000/symbol/",$C61,"/recommendationKey/raw"))</f>
        <v>buy</v>
      </c>
      <c r="K61" s="4">
        <f>_xlfn.NUMBERVALUE(_xlfn.WEBSERVICE(_xlfn.CONCAT("http://172.31.103.65:5000/symbol/",$C61,"/overallRisk/raw")))</f>
        <v>2</v>
      </c>
      <c r="L61" s="5">
        <f>_xlfn.NUMBERVALUE(SUBSTITUTE(_xlfn.WEBSERVICE(_xlfn.CONCAT("http://172.31.103.65:5000/symbol/",$C61,"/targetRatio/raw")),".",",",1))</f>
        <v>0.117710253497124</v>
      </c>
      <c r="M61" t="str">
        <f>_xlfn.WEBSERVICE(_xlfn.CONCAT("http://172.31.103.65:5000/symbol/",$C61,"/exDividendDate/raw"))</f>
        <v>09/07/2025</v>
      </c>
      <c r="N61" s="7">
        <f>_xlfn.NUMBERVALUE(SUBSTITUTE(SUBSTITUTE(_xlfn.WEBSERVICE(_xlfn.CONCAT("http://172.31.103.65:5000/symbol/",$C61,"/dividendRate/raw")),".",",",1),"-","0", 1))</f>
        <v>3.04</v>
      </c>
      <c r="O61" s="7">
        <f>_xlfn.NUMBERVALUE(SUBSTITUTE(_xlfn.WEBSERVICE(_xlfn.CONCAT("http://172.31.103.65:5000/symbol/",$C61,"/currentPrice/raw")),".",",",1))</f>
        <v>563.32000000000005</v>
      </c>
      <c r="P61" s="2">
        <f>N61/O61</f>
        <v>5.3965774337854143E-3</v>
      </c>
    </row>
    <row r="62" spans="1:16" x14ac:dyDescent="0.25">
      <c r="A62">
        <v>59</v>
      </c>
      <c r="B62" t="s">
        <v>40</v>
      </c>
      <c r="C62" t="s">
        <v>143</v>
      </c>
      <c r="D62" t="s">
        <v>144</v>
      </c>
      <c r="E62" s="2">
        <f>_xlfn.NUMBERVALUE(SUBSTITUTE(_xlfn.WEBSERVICE(_xlfn.CONCAT("http://172.31.103.65:5000/symbol/",$C62,"/annualGrowthRatio/raw")),".",",",1))</f>
        <v>0.162655187693865</v>
      </c>
      <c r="F62" s="2" t="e">
        <f>_xlfn.NUMBERVALUE(SUBSTITUTE(_xlfn.WEBSERVICE(_xlfn.CONCAT("http://172.31.103.65:5000/symbol/",$C62,"/debtToEquityPercentage/raw")),".",",",1))/100</f>
        <v>#VALUE!</v>
      </c>
      <c r="G62" s="2">
        <f>_xlfn.NUMBERVALUE(SUBSTITUTE(_xlfn.WEBSERVICE(_xlfn.CONCAT("http://172.31.103.65:5000/symbol/",$C62,"/ROE/raw")),".",",",1))</f>
        <v>-2.1501580273972598</v>
      </c>
      <c r="H62" s="4">
        <f>_xlfn.NUMBERVALUE(SUBSTITUTE(_xlfn.WEBSERVICE(_xlfn.CONCAT("http://172.31.103.65:5000/symbol/",$C62,"/PERatio/raw")),".",",",1))</f>
        <v>26.690477000000001</v>
      </c>
      <c r="I62" s="5">
        <f>_xlfn.NUMBERVALUE(SUBSTITUTE(_xlfn.WEBSERVICE(_xlfn.CONCAT("http://172.31.103.65:5000/symbol/",$C62,"/discountToIntrinsicValueRatio/raw")),".",",",1))</f>
        <v>-5.8437118437118398</v>
      </c>
      <c r="J62" t="str">
        <f>_xlfn.WEBSERVICE(_xlfn.CONCAT("http://172.31.103.65:5000/symbol/",$C62,"/recommendationKey/raw"))</f>
        <v>buy</v>
      </c>
      <c r="K62" s="4">
        <f>_xlfn.NUMBERVALUE(_xlfn.WEBSERVICE(_xlfn.CONCAT("http://172.31.103.65:5000/symbol/",$C62,"/overallRisk/raw")))</f>
        <v>5</v>
      </c>
      <c r="L62" s="5">
        <f>_xlfn.NUMBERVALUE(SUBSTITUTE(_xlfn.WEBSERVICE(_xlfn.CONCAT("http://172.31.103.65:5000/symbol/",$C62,"/targetRatio/raw")),".",",",1))</f>
        <v>8.7481944031453401E-2</v>
      </c>
      <c r="M62" t="str">
        <f>_xlfn.WEBSERVICE(_xlfn.CONCAT("http://172.31.103.65:5000/symbol/",$C62,"/exDividendDate/raw"))</f>
        <v>02/09/2025</v>
      </c>
      <c r="N62" s="7">
        <f>_xlfn.NUMBERVALUE(SUBSTITUTE(SUBSTITUTE(_xlfn.WEBSERVICE(_xlfn.CONCAT("http://172.31.103.65:5000/symbol/",$C62,"/dividendRate/raw")),".",",",1),"-","0", 1))</f>
        <v>7.08</v>
      </c>
      <c r="O62" s="7">
        <f>_xlfn.NUMBERVALUE(SUBSTITUTE(_xlfn.WEBSERVICE(_xlfn.CONCAT("http://172.31.103.65:5000/symbol/",$C62,"/currentPrice/raw")),".",",",1))</f>
        <v>302.67</v>
      </c>
      <c r="P62" s="2">
        <f>N62/O62</f>
        <v>2.3391812865497075E-2</v>
      </c>
    </row>
    <row r="63" spans="1:16" x14ac:dyDescent="0.25">
      <c r="A63">
        <v>60</v>
      </c>
      <c r="B63" t="s">
        <v>68</v>
      </c>
      <c r="C63" t="s">
        <v>145</v>
      </c>
      <c r="D63" t="s">
        <v>146</v>
      </c>
      <c r="E63" s="2">
        <f>_xlfn.NUMBERVALUE(SUBSTITUTE(_xlfn.WEBSERVICE(_xlfn.CONCAT("http://172.31.103.65:5000/symbol/",$C63,"/annualGrowthRatio/raw")),".",",",1))</f>
        <v>6.9407837633110703E-2</v>
      </c>
      <c r="F63" s="2">
        <f>_xlfn.NUMBERVALUE(SUBSTITUTE(_xlfn.WEBSERVICE(_xlfn.CONCAT("http://172.31.103.65:5000/symbol/",$C63,"/debtToEquityPercentage/raw")),".",",",1))/100</f>
        <v>0.78051000000000004</v>
      </c>
      <c r="G63" s="2">
        <f>_xlfn.NUMBERVALUE(SUBSTITUTE(_xlfn.WEBSERVICE(_xlfn.CONCAT("http://172.31.103.65:5000/symbol/",$C63,"/ROE/raw")),".",",",1))</f>
        <v>0.13370711183721901</v>
      </c>
      <c r="H63" s="4">
        <f>_xlfn.NUMBERVALUE(SUBSTITUTE(_xlfn.WEBSERVICE(_xlfn.CONCAT("http://172.31.103.65:5000/symbol/",$C63,"/PERatio/raw")),".",",",1))</f>
        <v>25.914497000000001</v>
      </c>
      <c r="I63" s="5">
        <f>_xlfn.NUMBERVALUE(SUBSTITUTE(_xlfn.WEBSERVICE(_xlfn.CONCAT("http://172.31.103.65:5000/symbol/",$C63,"/discountToIntrinsicValueRatio/raw")),".",",",1))</f>
        <v>1.1961733394493801</v>
      </c>
      <c r="J63" t="str">
        <f>_xlfn.WEBSERVICE(_xlfn.CONCAT("http://172.31.103.65:5000/symbol/",$C63,"/recommendationKey/raw"))</f>
        <v>buy</v>
      </c>
      <c r="K63" s="4">
        <f>_xlfn.NUMBERVALUE(_xlfn.WEBSERVICE(_xlfn.CONCAT("http://172.31.103.65:5000/symbol/",$C63,"/overallRisk/raw")))</f>
        <v>5</v>
      </c>
      <c r="L63" s="5">
        <f>_xlfn.NUMBERVALUE(SUBSTITUTE(_xlfn.WEBSERVICE(_xlfn.CONCAT("http://172.31.103.65:5000/symbol/",$C63,"/targetRatio/raw")),".",",",1))</f>
        <v>5.6950222349734798E-2</v>
      </c>
      <c r="M63" t="str">
        <f>_xlfn.WEBSERVICE(_xlfn.CONCAT("http://172.31.103.65:5000/symbol/",$C63,"/exDividendDate/raw"))</f>
        <v>30/06/2025</v>
      </c>
      <c r="N63" s="7">
        <f>_xlfn.NUMBERVALUE(SUBSTITUTE(SUBSTITUTE(_xlfn.WEBSERVICE(_xlfn.CONCAT("http://172.31.103.65:5000/symbol/",$C63,"/dividendRate/raw")),".",",",1),"-","0", 1))</f>
        <v>1.88</v>
      </c>
      <c r="O63" s="7">
        <f>_xlfn.NUMBERVALUE(SUBSTITUTE(_xlfn.WEBSERVICE(_xlfn.CONCAT("http://172.31.103.65:5000/symbol/",$C63,"/currentPrice/raw")),".",",",1))</f>
        <v>69.709999999999994</v>
      </c>
      <c r="P63" s="2">
        <f>N63/O63</f>
        <v>2.6968871037153924E-2</v>
      </c>
    </row>
    <row r="64" spans="1:16" x14ac:dyDescent="0.25">
      <c r="A64">
        <v>61</v>
      </c>
      <c r="B64" t="s">
        <v>22</v>
      </c>
      <c r="C64" t="s">
        <v>147</v>
      </c>
      <c r="D64" t="s">
        <v>148</v>
      </c>
      <c r="E64" s="2">
        <f>_xlfn.NUMBERVALUE(SUBSTITUTE(_xlfn.WEBSERVICE(_xlfn.CONCAT("http://172.31.103.65:5000/symbol/",$C64,"/annualGrowthRatio/raw")),".",",",1))</f>
        <v>0.17213744436933001</v>
      </c>
      <c r="F64" s="2">
        <f>_xlfn.NUMBERVALUE(SUBSTITUTE(_xlfn.WEBSERVICE(_xlfn.CONCAT("http://172.31.103.65:5000/symbol/",$C64,"/debtToEquityPercentage/raw")),".",",",1))/100</f>
        <v>0.61392999999999998</v>
      </c>
      <c r="G64" s="2">
        <f>_xlfn.NUMBERVALUE(SUBSTITUTE(_xlfn.WEBSERVICE(_xlfn.CONCAT("http://172.31.103.65:5000/symbol/",$C64,"/ROE/raw")),".",",",1))</f>
        <v>9.7076464434449394E-2</v>
      </c>
      <c r="H64" s="4">
        <f>_xlfn.NUMBERVALUE(SUBSTITUTE(_xlfn.WEBSERVICE(_xlfn.CONCAT("http://172.31.103.65:5000/symbol/",$C64,"/PERatio/raw")),".",",",1))</f>
        <v>25.606649999999998</v>
      </c>
      <c r="I64" s="5">
        <f>_xlfn.NUMBERVALUE(SUBSTITUTE(_xlfn.WEBSERVICE(_xlfn.CONCAT("http://172.31.103.65:5000/symbol/",$C64,"/discountToIntrinsicValueRatio/raw")),".",",",1))</f>
        <v>0.82279136194155</v>
      </c>
      <c r="J64" t="str">
        <f>_xlfn.WEBSERVICE(_xlfn.CONCAT("http://172.31.103.65:5000/symbol/",$C64,"/recommendationKey/raw"))</f>
        <v>buy</v>
      </c>
      <c r="K64" s="4">
        <f>_xlfn.NUMBERVALUE(_xlfn.WEBSERVICE(_xlfn.CONCAT("http://172.31.103.65:5000/symbol/",$C64,"/overallRisk/raw")))</f>
        <v>5</v>
      </c>
      <c r="L64" s="5">
        <f>_xlfn.NUMBERVALUE(SUBSTITUTE(_xlfn.WEBSERVICE(_xlfn.CONCAT("http://172.31.103.65:5000/symbol/",$C64,"/targetRatio/raw")),".",",",1))</f>
        <v>4.5239290350497598E-2</v>
      </c>
      <c r="M64" t="str">
        <f>_xlfn.WEBSERVICE(_xlfn.CONCAT("http://172.31.103.65:5000/symbol/",$C64,"/exDividendDate/raw"))</f>
        <v>27/06/2025</v>
      </c>
      <c r="N64" s="7">
        <f>_xlfn.NUMBERVALUE(SUBSTITUTE(SUBSTITUTE(_xlfn.WEBSERVICE(_xlfn.CONCAT("http://172.31.103.65:5000/symbol/",$C64,"/dividendRate/raw")),".",",",1),"-","0", 1))</f>
        <v>2.84</v>
      </c>
      <c r="O64" s="7">
        <f>_xlfn.NUMBERVALUE(SUBSTITUTE(_xlfn.WEBSERVICE(_xlfn.CONCAT("http://172.31.103.65:5000/symbol/",$C64,"/currentPrice/raw")),".",",",1))</f>
        <v>92.44</v>
      </c>
      <c r="P64" s="2">
        <f>N64/O64</f>
        <v>3.0722630895716141E-2</v>
      </c>
    </row>
    <row r="65" spans="1:16" x14ac:dyDescent="0.25">
      <c r="A65">
        <v>62</v>
      </c>
      <c r="B65" t="s">
        <v>31</v>
      </c>
      <c r="C65" t="s">
        <v>149</v>
      </c>
      <c r="D65" t="s">
        <v>150</v>
      </c>
      <c r="E65" s="2">
        <f>_xlfn.NUMBERVALUE(SUBSTITUTE(_xlfn.WEBSERVICE(_xlfn.CONCAT("http://172.31.103.65:5000/symbol/",$C65,"/annualGrowthRatio/raw")),".",",",1))</f>
        <v>4.1662301713846397E-2</v>
      </c>
      <c r="F65" s="2">
        <f>_xlfn.NUMBERVALUE(SUBSTITUTE(_xlfn.WEBSERVICE(_xlfn.CONCAT("http://172.31.103.65:5000/symbol/",$C65,"/debtToEquityPercentage/raw")),".",",",1))/100</f>
        <v>1.7275399999999999</v>
      </c>
      <c r="G65" s="2">
        <f>_xlfn.NUMBERVALUE(SUBSTITUTE(_xlfn.WEBSERVICE(_xlfn.CONCAT("http://172.31.103.65:5000/symbol/",$C65,"/ROE/raw")),".",",",1))</f>
        <v>0.15685917055929999</v>
      </c>
      <c r="H65" s="4">
        <f>_xlfn.NUMBERVALUE(SUBSTITUTE(_xlfn.WEBSERVICE(_xlfn.CONCAT("http://172.31.103.65:5000/symbol/",$C65,"/PERatio/raw")),".",",",1))</f>
        <v>12.692811000000001</v>
      </c>
      <c r="I65" s="5">
        <f>_xlfn.NUMBERVALUE(SUBSTITUTE(_xlfn.WEBSERVICE(_xlfn.CONCAT("http://172.31.103.65:5000/symbol/",$C65,"/discountToIntrinsicValueRatio/raw")),".",",",1))</f>
        <v>0.69266802766304203</v>
      </c>
      <c r="J65" t="str">
        <f>_xlfn.WEBSERVICE(_xlfn.CONCAT("http://172.31.103.65:5000/symbol/",$C65,"/recommendationKey/raw"))</f>
        <v>buy</v>
      </c>
      <c r="K65" s="4">
        <f>_xlfn.NUMBERVALUE(_xlfn.WEBSERVICE(_xlfn.CONCAT("http://172.31.103.65:5000/symbol/",$C65,"/overallRisk/raw")))</f>
        <v>3</v>
      </c>
      <c r="L65" s="5">
        <f>_xlfn.NUMBERVALUE(SUBSTITUTE(_xlfn.WEBSERVICE(_xlfn.CONCAT("http://172.31.103.65:5000/symbol/",$C65,"/targetRatio/raw")),".",",",1))</f>
        <v>0.21193177136972099</v>
      </c>
      <c r="M65" t="str">
        <f>_xlfn.WEBSERVICE(_xlfn.CONCAT("http://172.31.103.65:5000/symbol/",$C65,"/exDividendDate/raw"))</f>
        <v>05/08/2025</v>
      </c>
      <c r="N65" s="7">
        <f>_xlfn.NUMBERVALUE(SUBSTITUTE(SUBSTITUTE(_xlfn.WEBSERVICE(_xlfn.CONCAT("http://172.31.103.65:5000/symbol/",$C65,"/dividendRate/raw")),".",",",1),"-","0", 1))</f>
        <v>2.27</v>
      </c>
      <c r="O65" s="7">
        <f>_xlfn.NUMBERVALUE(SUBSTITUTE(_xlfn.WEBSERVICE(_xlfn.CONCAT("http://172.31.103.65:5000/symbol/",$C65,"/currentPrice/raw")),".",",",1))</f>
        <v>77.680000000000007</v>
      </c>
      <c r="P65" s="2">
        <f>N65/O65</f>
        <v>2.9222451081359423E-2</v>
      </c>
    </row>
    <row r="66" spans="1:16" x14ac:dyDescent="0.25">
      <c r="A66">
        <v>63</v>
      </c>
      <c r="B66" t="s">
        <v>65</v>
      </c>
      <c r="C66" t="s">
        <v>151</v>
      </c>
      <c r="D66" t="s">
        <v>152</v>
      </c>
      <c r="E66" s="2">
        <f>_xlfn.NUMBERVALUE(SUBSTITUTE(_xlfn.WEBSERVICE(_xlfn.CONCAT("http://172.31.103.65:5000/symbol/",$C66,"/annualGrowthRatio/raw")),".",",",1))</f>
        <v>0.51643357269795398</v>
      </c>
      <c r="F66" s="2">
        <f>_xlfn.NUMBERVALUE(SUBSTITUTE(_xlfn.WEBSERVICE(_xlfn.CONCAT("http://172.31.103.65:5000/symbol/",$C66,"/debtToEquityPercentage/raw")),".",",",1))/100</f>
        <v>0.26763000000000003</v>
      </c>
      <c r="G66" s="2">
        <f>_xlfn.NUMBERVALUE(SUBSTITUTE(_xlfn.WEBSERVICE(_xlfn.CONCAT("http://172.31.103.65:5000/symbol/",$C66,"/ROE/raw")),".",",",1))</f>
        <v>0.36484941088607398</v>
      </c>
      <c r="H66" s="4">
        <f>_xlfn.NUMBERVALUE(SUBSTITUTE(_xlfn.WEBSERVICE(_xlfn.CONCAT("http://172.31.103.65:5000/symbol/",$C66,"/PERatio/raw")),".",",",1))</f>
        <v>27.397259999999999</v>
      </c>
      <c r="I66" s="5">
        <f>_xlfn.NUMBERVALUE(SUBSTITUTE(_xlfn.WEBSERVICE(_xlfn.CONCAT("http://172.31.103.65:5000/symbol/",$C66,"/discountToIntrinsicValueRatio/raw")),".",",",1))</f>
        <v>0.66383729725186902</v>
      </c>
      <c r="J66" t="str">
        <f>_xlfn.WEBSERVICE(_xlfn.CONCAT("http://172.31.103.65:5000/symbol/",$C66,"/recommendationKey/raw"))</f>
        <v>strong_buy</v>
      </c>
      <c r="K66" s="4">
        <f>_xlfn.NUMBERVALUE(_xlfn.WEBSERVICE(_xlfn.CONCAT("http://172.31.103.65:5000/symbol/",$C66,"/overallRisk/raw")))</f>
        <v>10</v>
      </c>
      <c r="L66" s="5">
        <f>_xlfn.NUMBERVALUE(SUBSTITUTE(_xlfn.WEBSERVICE(_xlfn.CONCAT("http://172.31.103.65:5000/symbol/",$C66,"/targetRatio/raw")),".",",",1))</f>
        <v>8.01817999999999E-2</v>
      </c>
      <c r="M66" t="str">
        <f>_xlfn.WEBSERVICE(_xlfn.CONCAT("http://172.31.103.65:5000/symbol/",$C66,"/exDividendDate/raw"))</f>
        <v>16/06/2025</v>
      </c>
      <c r="N66" s="7">
        <f>_xlfn.NUMBERVALUE(SUBSTITUTE(SUBSTITUTE(_xlfn.WEBSERVICE(_xlfn.CONCAT("http://172.31.103.65:5000/symbol/",$C66,"/dividendRate/raw")),".",",",1),"-","0", 1))</f>
        <v>2.1</v>
      </c>
      <c r="O66" s="7">
        <f>_xlfn.NUMBERVALUE(SUBSTITUTE(_xlfn.WEBSERVICE(_xlfn.CONCAT("http://172.31.103.65:5000/symbol/",$C66,"/currentPrice/raw")),".",",",1))</f>
        <v>700</v>
      </c>
      <c r="P66" s="2">
        <f>N66/O66</f>
        <v>3.0000000000000001E-3</v>
      </c>
    </row>
    <row r="67" spans="1:16" x14ac:dyDescent="0.25">
      <c r="A67">
        <v>64</v>
      </c>
      <c r="B67" t="s">
        <v>47</v>
      </c>
      <c r="C67" t="s">
        <v>153</v>
      </c>
      <c r="D67" t="s">
        <v>154</v>
      </c>
      <c r="E67" s="2">
        <f>_xlfn.NUMBERVALUE(SUBSTITUTE(_xlfn.WEBSERVICE(_xlfn.CONCAT("http://172.31.103.65:5000/symbol/",$C67,"/annualGrowthRatio/raw")),".",",",1))</f>
        <v>0.22234154176200599</v>
      </c>
      <c r="F67" s="2">
        <f>_xlfn.NUMBERVALUE(SUBSTITUTE(_xlfn.WEBSERVICE(_xlfn.CONCAT("http://172.31.103.65:5000/symbol/",$C67,"/debtToEquityPercentage/raw")),".",",",1))/100</f>
        <v>3.1675499999999999</v>
      </c>
      <c r="G67" s="2">
        <f>_xlfn.NUMBERVALUE(SUBSTITUTE(_xlfn.WEBSERVICE(_xlfn.CONCAT("http://172.31.103.65:5000/symbol/",$C67,"/ROE/raw")),".",",",1))</f>
        <v>1.0252472837063999</v>
      </c>
      <c r="H67" s="4">
        <f>_xlfn.NUMBERVALUE(SUBSTITUTE(_xlfn.WEBSERVICE(_xlfn.CONCAT("http://172.31.103.65:5000/symbol/",$C67,"/PERatio/raw")),".",",",1))</f>
        <v>21.052703999999999</v>
      </c>
      <c r="I67" s="5">
        <f>_xlfn.NUMBERVALUE(SUBSTITUTE(_xlfn.WEBSERVICE(_xlfn.CONCAT("http://172.31.103.65:5000/symbol/",$C67,"/discountToIntrinsicValueRatio/raw")),".",",",1))</f>
        <v>1.34121077110172</v>
      </c>
      <c r="J67" t="str">
        <f>_xlfn.WEBSERVICE(_xlfn.CONCAT("http://172.31.103.65:5000/symbol/",$C67,"/recommendationKey/raw"))</f>
        <v>buy</v>
      </c>
      <c r="K67" s="4">
        <f>_xlfn.NUMBERVALUE(_xlfn.WEBSERVICE(_xlfn.CONCAT("http://172.31.103.65:5000/symbol/",$C67,"/overallRisk/raw")))</f>
        <v>4</v>
      </c>
      <c r="L67" s="5">
        <f>_xlfn.NUMBERVALUE(SUBSTITUTE(_xlfn.WEBSERVICE(_xlfn.CONCAT("http://172.31.103.65:5000/symbol/",$C67,"/targetRatio/raw")),".",",",1))</f>
        <v>6.1660254298702102E-2</v>
      </c>
      <c r="M67" t="str">
        <f>_xlfn.WEBSERVICE(_xlfn.CONCAT("http://172.31.103.65:5000/symbol/",$C67,"/exDividendDate/raw"))</f>
        <v>23/05/2025</v>
      </c>
      <c r="N67" s="7">
        <f>_xlfn.NUMBERVALUE(SUBSTITUTE(SUBSTITUTE(_xlfn.WEBSERVICE(_xlfn.CONCAT("http://172.31.103.65:5000/symbol/",$C67,"/dividendRate/raw")),".",",",1),"-","0", 1))</f>
        <v>2.92</v>
      </c>
      <c r="O67" s="7">
        <f>_xlfn.NUMBERVALUE(SUBSTITUTE(_xlfn.WEBSERVICE(_xlfn.CONCAT("http://172.31.103.65:5000/symbol/",$C67,"/currentPrice/raw")),".",",",1))</f>
        <v>151.79</v>
      </c>
      <c r="P67" s="2">
        <f>N67/O67</f>
        <v>1.9237103893537125E-2</v>
      </c>
    </row>
    <row r="68" spans="1:16" x14ac:dyDescent="0.25">
      <c r="A68">
        <v>65</v>
      </c>
      <c r="B68" t="s">
        <v>68</v>
      </c>
      <c r="C68" t="s">
        <v>155</v>
      </c>
      <c r="D68" t="s">
        <v>156</v>
      </c>
      <c r="E68" s="2">
        <f>_xlfn.NUMBERVALUE(SUBSTITUTE(_xlfn.WEBSERVICE(_xlfn.CONCAT("http://172.31.103.65:5000/symbol/",$C68,"/annualGrowthRatio/raw")),".",",",1))</f>
        <v>0.26417314891624699</v>
      </c>
      <c r="F68" s="2" t="e">
        <f>_xlfn.NUMBERVALUE(SUBSTITUTE(_xlfn.WEBSERVICE(_xlfn.CONCAT("http://172.31.103.65:5000/symbol/",$C68,"/debtToEquityPercentage/raw")),".",",",1))/100</f>
        <v>#VALUE!</v>
      </c>
      <c r="G68" s="2">
        <f>_xlfn.NUMBERVALUE(SUBSTITUTE(_xlfn.WEBSERVICE(_xlfn.CONCAT("http://172.31.103.65:5000/symbol/",$C68,"/ROE/raw")),".",",",1))</f>
        <v>-4.5504912815013396</v>
      </c>
      <c r="H68" s="4">
        <f>_xlfn.NUMBERVALUE(SUBSTITUTE(_xlfn.WEBSERVICE(_xlfn.CONCAT("http://172.31.103.65:5000/symbol/",$C68,"/PERatio/raw")),".",",",1))</f>
        <v>9.9597320000000007</v>
      </c>
      <c r="I68" s="5">
        <f>_xlfn.NUMBERVALUE(SUBSTITUTE(_xlfn.WEBSERVICE(_xlfn.CONCAT("http://172.31.103.65:5000/symbol/",$C68,"/discountToIntrinsicValueRatio/raw")),".",",",1))</f>
        <v>1.1151414051285999</v>
      </c>
      <c r="J68" t="str">
        <f>_xlfn.WEBSERVICE(_xlfn.CONCAT("http://172.31.103.65:5000/symbol/",$C68,"/recommendationKey/raw"))</f>
        <v>hold</v>
      </c>
      <c r="K68" s="4">
        <f>_xlfn.NUMBERVALUE(_xlfn.WEBSERVICE(_xlfn.CONCAT("http://172.31.103.65:5000/symbol/",$C68,"/overallRisk/raw")))</f>
        <v>3</v>
      </c>
      <c r="L68" s="5">
        <f>_xlfn.NUMBERVALUE(SUBSTITUTE(_xlfn.WEBSERVICE(_xlfn.CONCAT("http://172.31.103.65:5000/symbol/",$C68,"/targetRatio/raw")),".",",",1))</f>
        <v>-1.3839959568733099E-2</v>
      </c>
      <c r="M68" t="str">
        <f>_xlfn.WEBSERVICE(_xlfn.CONCAT("http://172.31.103.65:5000/symbol/",$C68,"/exDividendDate/raw"))</f>
        <v>16/06/2025</v>
      </c>
      <c r="N68" s="7">
        <f>_xlfn.NUMBERVALUE(SUBSTITUTE(SUBSTITUTE(_xlfn.WEBSERVICE(_xlfn.CONCAT("http://172.31.103.65:5000/symbol/",$C68,"/dividendRate/raw")),".",",",1),"-","0", 1))</f>
        <v>4.08</v>
      </c>
      <c r="O68" s="7">
        <f>_xlfn.NUMBERVALUE(SUBSTITUTE(_xlfn.WEBSERVICE(_xlfn.CONCAT("http://172.31.103.65:5000/symbol/",$C68,"/currentPrice/raw")),".",",",1))</f>
        <v>59.36</v>
      </c>
      <c r="P68" s="2">
        <f>N68/O68</f>
        <v>6.8733153638814021E-2</v>
      </c>
    </row>
    <row r="69" spans="1:16" x14ac:dyDescent="0.25">
      <c r="A69">
        <v>66</v>
      </c>
      <c r="B69" t="s">
        <v>22</v>
      </c>
      <c r="C69" t="s">
        <v>157</v>
      </c>
      <c r="D69" t="s">
        <v>158</v>
      </c>
      <c r="E69" s="2">
        <f>_xlfn.NUMBERVALUE(SUBSTITUTE(_xlfn.WEBSERVICE(_xlfn.CONCAT("http://172.31.103.65:5000/symbol/",$C69,"/annualGrowthRatio/raw")),".",",",1))</f>
        <v>-0.258830046233818</v>
      </c>
      <c r="F69" s="2">
        <f>_xlfn.NUMBERVALUE(SUBSTITUTE(_xlfn.WEBSERVICE(_xlfn.CONCAT("http://172.31.103.65:5000/symbol/",$C69,"/debtToEquityPercentage/raw")),".",",",1))/100</f>
        <v>0.71992</v>
      </c>
      <c r="G69" s="2">
        <f>_xlfn.NUMBERVALUE(SUBSTITUTE(_xlfn.WEBSERVICE(_xlfn.CONCAT("http://172.31.103.65:5000/symbol/",$C69,"/ROE/raw")),".",",",1))</f>
        <v>0.37643856714097501</v>
      </c>
      <c r="H69" s="4">
        <f>_xlfn.NUMBERVALUE(SUBSTITUTE(_xlfn.WEBSERVICE(_xlfn.CONCAT("http://172.31.103.65:5000/symbol/",$C69,"/PERatio/raw")),".",",",1))</f>
        <v>12.010173999999999</v>
      </c>
      <c r="I69" s="5">
        <f>_xlfn.NUMBERVALUE(SUBSTITUTE(_xlfn.WEBSERVICE(_xlfn.CONCAT("http://172.31.103.65:5000/symbol/",$C69,"/discountToIntrinsicValueRatio/raw")),".",",",1))</f>
        <v>0.48892874814448301</v>
      </c>
      <c r="J69" t="str">
        <f>_xlfn.WEBSERVICE(_xlfn.CONCAT("http://172.31.103.65:5000/symbol/",$C69,"/recommendationKey/raw"))</f>
        <v>buy</v>
      </c>
      <c r="K69" s="4">
        <f>_xlfn.NUMBERVALUE(_xlfn.WEBSERVICE(_xlfn.CONCAT("http://172.31.103.65:5000/symbol/",$C69,"/overallRisk/raw")))</f>
        <v>3</v>
      </c>
      <c r="L69" s="5">
        <f>_xlfn.NUMBERVALUE(SUBSTITUTE(_xlfn.WEBSERVICE(_xlfn.CONCAT("http://172.31.103.65:5000/symbol/",$C69,"/targetRatio/raw")),".",",",1))</f>
        <v>0.23170337649764</v>
      </c>
      <c r="M69" t="str">
        <f>_xlfn.WEBSERVICE(_xlfn.CONCAT("http://172.31.103.65:5000/symbol/",$C69,"/exDividendDate/raw"))</f>
        <v>15/09/2025</v>
      </c>
      <c r="N69" s="7">
        <f>_xlfn.NUMBERVALUE(SUBSTITUTE(SUBSTITUTE(_xlfn.WEBSERVICE(_xlfn.CONCAT("http://172.31.103.65:5000/symbol/",$C69,"/dividendRate/raw")),".",",",1),"-","0", 1))</f>
        <v>3.24</v>
      </c>
      <c r="O69" s="7">
        <f>_xlfn.NUMBERVALUE(SUBSTITUTE(_xlfn.WEBSERVICE(_xlfn.CONCAT("http://172.31.103.65:5000/symbol/",$C69,"/currentPrice/raw")),".",",",1))</f>
        <v>82.63</v>
      </c>
      <c r="P69" s="2">
        <f>N69/O69</f>
        <v>3.9210940336439556E-2</v>
      </c>
    </row>
    <row r="70" spans="1:16" x14ac:dyDescent="0.25">
      <c r="A70">
        <v>67</v>
      </c>
      <c r="B70" t="s">
        <v>31</v>
      </c>
      <c r="C70" t="s">
        <v>159</v>
      </c>
      <c r="D70" t="s">
        <v>160</v>
      </c>
      <c r="E70" s="2">
        <f>_xlfn.NUMBERVALUE(SUBSTITUTE(_xlfn.WEBSERVICE(_xlfn.CONCAT("http://172.31.103.65:5000/symbol/",$C70,"/annualGrowthRatio/raw")),".",",",1))</f>
        <v>0.42778743022948701</v>
      </c>
      <c r="F70" s="2">
        <f>_xlfn.NUMBERVALUE(SUBSTITUTE(_xlfn.WEBSERVICE(_xlfn.CONCAT("http://172.31.103.65:5000/symbol/",$C70,"/debtToEquityPercentage/raw")),".",",",1))/100</f>
        <v>4.1664199999999996</v>
      </c>
      <c r="G70" s="2">
        <f>_xlfn.NUMBERVALUE(SUBSTITUTE(_xlfn.WEBSERVICE(_xlfn.CONCAT("http://172.31.103.65:5000/symbol/",$C70,"/ROE/raw")),".",",",1))</f>
        <v>0.13530632832907499</v>
      </c>
      <c r="H70" s="4">
        <f>_xlfn.NUMBERVALUE(SUBSTITUTE(_xlfn.WEBSERVICE(_xlfn.CONCAT("http://172.31.103.65:5000/symbol/",$C70,"/PERatio/raw")),".",",",1))</f>
        <v>16.276644000000001</v>
      </c>
      <c r="I70" s="5">
        <f>_xlfn.NUMBERVALUE(SUBSTITUTE(_xlfn.WEBSERVICE(_xlfn.CONCAT("http://172.31.103.65:5000/symbol/",$C70,"/discountToIntrinsicValueRatio/raw")),".",",",1))</f>
        <v>0.61702014138988903</v>
      </c>
      <c r="J70" t="str">
        <f>_xlfn.WEBSERVICE(_xlfn.CONCAT("http://172.31.103.65:5000/symbol/",$C70,"/recommendationKey/raw"))</f>
        <v>buy</v>
      </c>
      <c r="K70" s="4">
        <f>_xlfn.NUMBERVALUE(_xlfn.WEBSERVICE(_xlfn.CONCAT("http://172.31.103.65:5000/symbol/",$C70,"/overallRisk/raw")))</f>
        <v>7</v>
      </c>
      <c r="L70" s="5">
        <f>_xlfn.NUMBERVALUE(SUBSTITUTE(_xlfn.WEBSERVICE(_xlfn.CONCAT("http://172.31.103.65:5000/symbol/",$C70,"/targetRatio/raw")),".",",",1))</f>
        <v>-2.50766230147682E-3</v>
      </c>
      <c r="M70" t="str">
        <f>_xlfn.WEBSERVICE(_xlfn.CONCAT("http://172.31.103.65:5000/symbol/",$C70,"/exDividendDate/raw"))</f>
        <v>31/07/2025</v>
      </c>
      <c r="N70" s="7">
        <f>_xlfn.NUMBERVALUE(SUBSTITUTE(SUBSTITUTE(_xlfn.WEBSERVICE(_xlfn.CONCAT("http://172.31.103.65:5000/symbol/",$C70,"/dividendRate/raw")),".",",",1),"-","0", 1))</f>
        <v>4</v>
      </c>
      <c r="O70" s="7">
        <f>_xlfn.NUMBERVALUE(SUBSTITUTE(_xlfn.WEBSERVICE(_xlfn.CONCAT("http://172.31.103.65:5000/symbol/",$C70,"/currentPrice/raw")),".",",",1))</f>
        <v>143.56</v>
      </c>
      <c r="P70" s="2">
        <f>N70/O70</f>
        <v>2.7862914460852605E-2</v>
      </c>
    </row>
    <row r="71" spans="1:16" x14ac:dyDescent="0.25">
      <c r="A71">
        <v>68</v>
      </c>
      <c r="B71" t="s">
        <v>19</v>
      </c>
      <c r="C71" t="s">
        <v>161</v>
      </c>
      <c r="D71" t="s">
        <v>162</v>
      </c>
      <c r="E71" s="2">
        <f>_xlfn.NUMBERVALUE(SUBSTITUTE(_xlfn.WEBSERVICE(_xlfn.CONCAT("http://172.31.103.65:5000/symbol/",$C71,"/annualGrowthRatio/raw")),".",",",1))</f>
        <v>0.22127076222509101</v>
      </c>
      <c r="F71" s="2">
        <f>_xlfn.NUMBERVALUE(SUBSTITUTE(_xlfn.WEBSERVICE(_xlfn.CONCAT("http://172.31.103.65:5000/symbol/",$C71,"/debtToEquityPercentage/raw")),".",",",1))/100</f>
        <v>0.32625999999999999</v>
      </c>
      <c r="G71" s="2">
        <f>_xlfn.NUMBERVALUE(SUBSTITUTE(_xlfn.WEBSERVICE(_xlfn.CONCAT("http://172.31.103.65:5000/symbol/",$C71,"/ROE/raw")),".",",",1))</f>
        <v>0.359937733511622</v>
      </c>
      <c r="H71" s="4">
        <f>_xlfn.NUMBERVALUE(SUBSTITUTE(_xlfn.WEBSERVICE(_xlfn.CONCAT("http://172.31.103.65:5000/symbol/",$C71,"/PERatio/raw")),".",",",1))</f>
        <v>39.672600000000003</v>
      </c>
      <c r="I71" s="5">
        <f>_xlfn.NUMBERVALUE(SUBSTITUTE(_xlfn.WEBSERVICE(_xlfn.CONCAT("http://172.31.103.65:5000/symbol/",$C71,"/discountToIntrinsicValueRatio/raw")),".",",",1))</f>
        <v>9.6296113457971497E-2</v>
      </c>
      <c r="J71" t="str">
        <f>_xlfn.WEBSERVICE(_xlfn.CONCAT("http://172.31.103.65:5000/symbol/",$C71,"/recommendationKey/raw"))</f>
        <v>strong_buy</v>
      </c>
      <c r="K71" s="4">
        <f>_xlfn.NUMBERVALUE(_xlfn.WEBSERVICE(_xlfn.CONCAT("http://172.31.103.65:5000/symbol/",$C71,"/overallRisk/raw")))</f>
        <v>3</v>
      </c>
      <c r="L71" s="5">
        <f>_xlfn.NUMBERVALUE(SUBSTITUTE(_xlfn.WEBSERVICE(_xlfn.CONCAT("http://172.31.103.65:5000/symbol/",$C71,"/targetRatio/raw")),".",",",1))</f>
        <v>7.2825175098035294E-2</v>
      </c>
      <c r="M71" t="str">
        <f>_xlfn.WEBSERVICE(_xlfn.CONCAT("http://172.31.103.65:5000/symbol/",$C71,"/exDividendDate/raw"))</f>
        <v>21/08/2025</v>
      </c>
      <c r="N71" s="7">
        <f>_xlfn.NUMBERVALUE(SUBSTITUTE(SUBSTITUTE(_xlfn.WEBSERVICE(_xlfn.CONCAT("http://172.31.103.65:5000/symbol/",$C71,"/dividendRate/raw")),".",",",1),"-","0", 1))</f>
        <v>3.32</v>
      </c>
      <c r="O71" s="7">
        <f>_xlfn.NUMBERVALUE(SUBSTITUTE(_xlfn.WEBSERVICE(_xlfn.CONCAT("http://172.31.103.65:5000/symbol/",$C71,"/currentPrice/raw")),".",",",1))</f>
        <v>512.57000000000005</v>
      </c>
      <c r="P71" s="2">
        <f>N71/O71</f>
        <v>6.4771640946602402E-3</v>
      </c>
    </row>
    <row r="72" spans="1:16" x14ac:dyDescent="0.25">
      <c r="A72">
        <v>69</v>
      </c>
      <c r="B72" t="s">
        <v>94</v>
      </c>
      <c r="C72" t="s">
        <v>163</v>
      </c>
      <c r="D72" t="s">
        <v>164</v>
      </c>
      <c r="E72" s="2">
        <f>_xlfn.NUMBERVALUE(SUBSTITUTE(_xlfn.WEBSERVICE(_xlfn.CONCAT("http://172.31.103.65:5000/symbol/",$C72,"/annualGrowthRatio/raw")),".",",",1))</f>
        <v>-2.4668625353714102E-3</v>
      </c>
      <c r="F72" s="2">
        <f>_xlfn.NUMBERVALUE(SUBSTITUTE(_xlfn.WEBSERVICE(_xlfn.CONCAT("http://172.31.103.65:5000/symbol/",$C72,"/debtToEquityPercentage/raw")),".",",",1))/100</f>
        <v>1.52939</v>
      </c>
      <c r="G72" s="2">
        <f>_xlfn.NUMBERVALUE(SUBSTITUTE(_xlfn.WEBSERVICE(_xlfn.CONCAT("http://172.31.103.65:5000/symbol/",$C72,"/ROE/raw")),".",",",1))</f>
        <v>0.118121397337378</v>
      </c>
      <c r="H72" s="4">
        <f>_xlfn.NUMBERVALUE(SUBSTITUTE(_xlfn.WEBSERVICE(_xlfn.CONCAT("http://172.31.103.65:5000/symbol/",$C72,"/PERatio/raw")),".",",",1))</f>
        <v>25.069686999999998</v>
      </c>
      <c r="I72" s="5">
        <f>_xlfn.NUMBERVALUE(SUBSTITUTE(_xlfn.WEBSERVICE(_xlfn.CONCAT("http://172.31.103.65:5000/symbol/",$C72,"/discountToIntrinsicValueRatio/raw")),".",",",1))</f>
        <v>0.55785385518254205</v>
      </c>
      <c r="J72" t="str">
        <f>_xlfn.WEBSERVICE(_xlfn.CONCAT("http://172.31.103.65:5000/symbol/",$C72,"/recommendationKey/raw"))</f>
        <v>buy</v>
      </c>
      <c r="K72" s="4">
        <f>_xlfn.NUMBERVALUE(_xlfn.WEBSERVICE(_xlfn.CONCAT("http://172.31.103.65:5000/symbol/",$C72,"/overallRisk/raw")))</f>
        <v>5</v>
      </c>
      <c r="L72" s="5">
        <f>_xlfn.NUMBERVALUE(SUBSTITUTE(_xlfn.WEBSERVICE(_xlfn.CONCAT("http://172.31.103.65:5000/symbol/",$C72,"/targetRatio/raw")),".",",",1))</f>
        <v>0.14092383599722</v>
      </c>
      <c r="M72" t="str">
        <f>_xlfn.WEBSERVICE(_xlfn.CONCAT("http://172.31.103.65:5000/symbol/",$C72,"/exDividendDate/raw"))</f>
        <v>28/08/2025</v>
      </c>
      <c r="N72" s="7">
        <f>_xlfn.NUMBERVALUE(SUBSTITUTE(SUBSTITUTE(_xlfn.WEBSERVICE(_xlfn.CONCAT("http://172.31.103.65:5000/symbol/",$C72,"/dividendRate/raw")),".",",",1),"-","0", 1))</f>
        <v>2.27</v>
      </c>
      <c r="O72" s="7">
        <f>_xlfn.NUMBERVALUE(SUBSTITUTE(_xlfn.WEBSERVICE(_xlfn.CONCAT("http://172.31.103.65:5000/symbol/",$C72,"/currentPrice/raw")),".",",",1))</f>
        <v>71.95</v>
      </c>
      <c r="P72" s="2">
        <f>N72/O72</f>
        <v>3.1549687282835304E-2</v>
      </c>
    </row>
    <row r="73" spans="1:16" x14ac:dyDescent="0.25">
      <c r="A73">
        <v>70</v>
      </c>
      <c r="B73" t="s">
        <v>65</v>
      </c>
      <c r="C73" t="s">
        <v>165</v>
      </c>
      <c r="D73" t="s">
        <v>166</v>
      </c>
      <c r="E73" s="2">
        <f>_xlfn.NUMBERVALUE(SUBSTITUTE(_xlfn.WEBSERVICE(_xlfn.CONCAT("http://172.31.103.65:5000/symbol/",$C73,"/annualGrowthRatio/raw")),".",",",1))</f>
        <v>0.877252671011027</v>
      </c>
      <c r="F73" s="2">
        <f>_xlfn.NUMBERVALUE(SUBSTITUTE(_xlfn.WEBSERVICE(_xlfn.CONCAT("http://172.31.103.65:5000/symbol/",$C73,"/debtToEquityPercentage/raw")),".",",",1))/100</f>
        <v>0.67866000000000004</v>
      </c>
      <c r="G73" s="2">
        <f>_xlfn.NUMBERVALUE(SUBSTITUTE(_xlfn.WEBSERVICE(_xlfn.CONCAT("http://172.31.103.65:5000/symbol/",$C73,"/ROE/raw")),".",",",1))</f>
        <v>0.41416339366106703</v>
      </c>
      <c r="H73" s="4">
        <f>_xlfn.NUMBERVALUE(SUBSTITUTE(_xlfn.WEBSERVICE(_xlfn.CONCAT("http://172.31.103.65:5000/symbol/",$C73,"/PERatio/raw")),".",",",1))</f>
        <v>49.754787</v>
      </c>
      <c r="I73" s="5">
        <f>_xlfn.NUMBERVALUE(SUBSTITUTE(_xlfn.WEBSERVICE(_xlfn.CONCAT("http://172.31.103.65:5000/symbol/",$C73,"/discountToIntrinsicValueRatio/raw")),".",",",1))</f>
        <v>0.51741232519853797</v>
      </c>
      <c r="J73" t="str">
        <f>_xlfn.WEBSERVICE(_xlfn.CONCAT("http://172.31.103.65:5000/symbol/",$C73,"/recommendationKey/raw"))</f>
        <v>buy</v>
      </c>
      <c r="K73" s="4">
        <f>_xlfn.NUMBERVALUE(_xlfn.WEBSERVICE(_xlfn.CONCAT("http://172.31.103.65:5000/symbol/",$C73,"/overallRisk/raw")))</f>
        <v>9</v>
      </c>
      <c r="L73" s="5">
        <f>_xlfn.NUMBERVALUE(SUBSTITUTE(_xlfn.WEBSERVICE(_xlfn.CONCAT("http://172.31.103.65:5000/symbol/",$C73,"/targetRatio/raw")),".",",",1))</f>
        <v>0.155360473672502</v>
      </c>
      <c r="M73" t="str">
        <f>_xlfn.WEBSERVICE(_xlfn.CONCAT("http://172.31.103.65:5000/symbol/",$C73,"/exDividendDate/raw"))</f>
        <v>-</v>
      </c>
      <c r="N73" s="7">
        <f>_xlfn.NUMBERVALUE(SUBSTITUTE(SUBSTITUTE(_xlfn.WEBSERVICE(_xlfn.CONCAT("http://172.31.103.65:5000/symbol/",$C73,"/dividendRate/raw")),".",",",1),"-","0", 1))</f>
        <v>0</v>
      </c>
      <c r="O73" s="7">
        <f>_xlfn.NUMBERVALUE(SUBSTITUTE(_xlfn.WEBSERVICE(_xlfn.CONCAT("http://172.31.103.65:5000/symbol/",$C73,"/currentPrice/raw")),".",",",1))</f>
        <v>1168.74</v>
      </c>
      <c r="P73" s="2">
        <f>N73/O73</f>
        <v>0</v>
      </c>
    </row>
    <row r="74" spans="1:16" x14ac:dyDescent="0.25">
      <c r="A74">
        <v>71</v>
      </c>
      <c r="B74" t="s">
        <v>40</v>
      </c>
      <c r="C74" t="s">
        <v>167</v>
      </c>
      <c r="D74" t="s">
        <v>168</v>
      </c>
      <c r="E74" s="2">
        <f>_xlfn.NUMBERVALUE(SUBSTITUTE(_xlfn.WEBSERVICE(_xlfn.CONCAT("http://172.31.103.65:5000/symbol/",$C74,"/annualGrowthRatio/raw")),".",",",1))</f>
        <v>7.65532452876998E-2</v>
      </c>
      <c r="F74" s="2">
        <f>_xlfn.NUMBERVALUE(SUBSTITUTE(_xlfn.WEBSERVICE(_xlfn.CONCAT("http://172.31.103.65:5000/symbol/",$C74,"/debtToEquityPercentage/raw")),".",",",1))/100</f>
        <v>0.83409999999999995</v>
      </c>
      <c r="G74" s="2">
        <f>_xlfn.NUMBERVALUE(SUBSTITUTE(_xlfn.WEBSERVICE(_xlfn.CONCAT("http://172.31.103.65:5000/symbol/",$C74,"/ROE/raw")),".",",",1))</f>
        <v>0.243623708771664</v>
      </c>
      <c r="H74" s="4">
        <f>_xlfn.NUMBERVALUE(SUBSTITUTE(_xlfn.WEBSERVICE(_xlfn.CONCAT("http://172.31.103.65:5000/symbol/",$C74,"/PERatio/raw")),".",",",1))</f>
        <v>36.263890000000004</v>
      </c>
      <c r="I74" s="5">
        <f>_xlfn.NUMBERVALUE(SUBSTITUTE(_xlfn.WEBSERVICE(_xlfn.CONCAT("http://172.31.103.65:5000/symbol/",$C74,"/discountToIntrinsicValueRatio/raw")),".",",",1))</f>
        <v>1.2212561860212801</v>
      </c>
      <c r="J74" t="str">
        <f>_xlfn.WEBSERVICE(_xlfn.CONCAT("http://172.31.103.65:5000/symbol/",$C74,"/recommendationKey/raw"))</f>
        <v>buy</v>
      </c>
      <c r="K74" s="4">
        <f>_xlfn.NUMBERVALUE(_xlfn.WEBSERVICE(_xlfn.CONCAT("http://172.31.103.65:5000/symbol/",$C74,"/overallRisk/raw")))</f>
        <v>10</v>
      </c>
      <c r="L74" s="5">
        <f>_xlfn.NUMBERVALUE(SUBSTITUTE(_xlfn.WEBSERVICE(_xlfn.CONCAT("http://172.31.103.65:5000/symbol/",$C74,"/targetRatio/raw")),".",",",1))</f>
        <v>-8.9839142091152902E-3</v>
      </c>
      <c r="M74" t="str">
        <f>_xlfn.WEBSERVICE(_xlfn.CONCAT("http://172.31.103.65:5000/symbol/",$C74,"/exDividendDate/raw"))</f>
        <v>02/06/2025</v>
      </c>
      <c r="N74" s="7">
        <f>_xlfn.NUMBERVALUE(SUBSTITUTE(SUBSTITUTE(_xlfn.WEBSERVICE(_xlfn.CONCAT("http://172.31.103.65:5000/symbol/",$C74,"/dividendRate/raw")),".",",",1),"-","0", 1))</f>
        <v>1.6</v>
      </c>
      <c r="O74" s="7">
        <f>_xlfn.NUMBERVALUE(SUBSTITUTE(_xlfn.WEBSERVICE(_xlfn.CONCAT("http://172.31.103.65:5000/symbol/",$C74,"/currentPrice/raw")),".",",",1))</f>
        <v>78.33</v>
      </c>
      <c r="P74" s="2">
        <f>N74/O74</f>
        <v>2.0426401123452065E-2</v>
      </c>
    </row>
    <row r="75" spans="1:16" x14ac:dyDescent="0.25">
      <c r="A75">
        <v>72</v>
      </c>
      <c r="B75" t="s">
        <v>19</v>
      </c>
      <c r="C75" t="s">
        <v>169</v>
      </c>
      <c r="D75" t="s">
        <v>170</v>
      </c>
      <c r="E75" s="2">
        <f>_xlfn.NUMBERVALUE(SUBSTITUTE(_xlfn.WEBSERVICE(_xlfn.CONCAT("http://172.31.103.65:5000/symbol/",$C75,"/annualGrowthRatio/raw")),".",",",1))</f>
        <v>0.24336506657210299</v>
      </c>
      <c r="F75" s="2">
        <f>_xlfn.NUMBERVALUE(SUBSTITUTE(_xlfn.WEBSERVICE(_xlfn.CONCAT("http://172.31.103.65:5000/symbol/",$C75,"/debtToEquityPercentage/raw")),".",",",1))/100</f>
        <v>0.22036</v>
      </c>
      <c r="G75" s="2">
        <f>_xlfn.NUMBERVALUE(SUBSTITUTE(_xlfn.WEBSERVICE(_xlfn.CONCAT("http://172.31.103.65:5000/symbol/",$C75,"/ROE/raw")),".",",",1))</f>
        <v>0.172858771568321</v>
      </c>
      <c r="H75" s="4">
        <f>_xlfn.NUMBERVALUE(SUBSTITUTE(_xlfn.WEBSERVICE(_xlfn.CONCAT("http://172.31.103.65:5000/symbol/",$C75,"/PERatio/raw")),".",",",1))</f>
        <v>124.46115</v>
      </c>
      <c r="I75" s="5">
        <f>_xlfn.NUMBERVALUE(SUBSTITUTE(_xlfn.WEBSERVICE(_xlfn.CONCAT("http://172.31.103.65:5000/symbol/",$C75,"/discountToIntrinsicValueRatio/raw")),".",",",1))</f>
        <v>-0.238419431663736</v>
      </c>
      <c r="J75" t="str">
        <f>_xlfn.WEBSERVICE(_xlfn.CONCAT("http://172.31.103.65:5000/symbol/",$C75,"/recommendationKey/raw"))</f>
        <v>strong_buy</v>
      </c>
      <c r="K75" s="4">
        <f>_xlfn.NUMBERVALUE(_xlfn.WEBSERVICE(_xlfn.CONCAT("http://172.31.103.65:5000/symbol/",$C75,"/overallRisk/raw")))</f>
        <v>3</v>
      </c>
      <c r="L75" s="5">
        <f>_xlfn.NUMBERVALUE(SUBSTITUTE(_xlfn.WEBSERVICE(_xlfn.CONCAT("http://172.31.103.65:5000/symbol/",$C75,"/targetRatio/raw")),".",",",1))</f>
        <v>0.15696355215465099</v>
      </c>
      <c r="M75" t="str">
        <f>_xlfn.WEBSERVICE(_xlfn.CONCAT("http://172.31.103.65:5000/symbol/",$C75,"/exDividendDate/raw"))</f>
        <v>-</v>
      </c>
      <c r="N75" s="7">
        <f>_xlfn.NUMBERVALUE(SUBSTITUTE(SUBSTITUTE(_xlfn.WEBSERVICE(_xlfn.CONCAT("http://172.31.103.65:5000/symbol/",$C75,"/dividendRate/raw")),".",",",1),"-","0", 1))</f>
        <v>0</v>
      </c>
      <c r="O75" s="7">
        <f>_xlfn.NUMBERVALUE(SUBSTITUTE(_xlfn.WEBSERVICE(_xlfn.CONCAT("http://172.31.103.65:5000/symbol/",$C75,"/currentPrice/raw")),".",",",1))</f>
        <v>993.2</v>
      </c>
      <c r="P75" s="2">
        <f>N75/O75</f>
        <v>0</v>
      </c>
    </row>
    <row r="76" spans="1:16" x14ac:dyDescent="0.25">
      <c r="A76">
        <v>73</v>
      </c>
      <c r="B76" t="s">
        <v>19</v>
      </c>
      <c r="C76" t="s">
        <v>171</v>
      </c>
      <c r="D76" t="s">
        <v>172</v>
      </c>
      <c r="E76" s="2">
        <f>_xlfn.NUMBERVALUE(SUBSTITUTE(_xlfn.WEBSERVICE(_xlfn.CONCAT("http://172.31.103.65:5000/symbol/",$C76,"/annualGrowthRatio/raw")),".",",",1))</f>
        <v>0.69252330503564397</v>
      </c>
      <c r="F76" s="2">
        <f>_xlfn.NUMBERVALUE(SUBSTITUTE(_xlfn.WEBSERVICE(_xlfn.CONCAT("http://172.31.103.65:5000/symbol/",$C76,"/debtToEquityPercentage/raw")),".",",",1))/100</f>
        <v>0.12267</v>
      </c>
      <c r="G76" s="2">
        <f>_xlfn.NUMBERVALUE(SUBSTITUTE(_xlfn.WEBSERVICE(_xlfn.CONCAT("http://172.31.103.65:5000/symbol/",$C76,"/ROE/raw")),".",",",1))</f>
        <v>0.967816740731402</v>
      </c>
      <c r="H76" s="4">
        <f>_xlfn.NUMBERVALUE(SUBSTITUTE(_xlfn.WEBSERVICE(_xlfn.CONCAT("http://172.31.103.65:5000/symbol/",$C76,"/PERatio/raw")),".",",",1))</f>
        <v>56.799349999999997</v>
      </c>
      <c r="I76" s="5">
        <f>_xlfn.NUMBERVALUE(SUBSTITUTE(_xlfn.WEBSERVICE(_xlfn.CONCAT("http://172.31.103.65:5000/symbol/",$C76,"/discountToIntrinsicValueRatio/raw")),".",",",1))</f>
        <v>8.2401409518432001E-2</v>
      </c>
      <c r="J76" t="str">
        <f>_xlfn.WEBSERVICE(_xlfn.CONCAT("http://172.31.103.65:5000/symbol/",$C76,"/recommendationKey/raw"))</f>
        <v>strong_buy</v>
      </c>
      <c r="K76" s="4">
        <f>_xlfn.NUMBERVALUE(_xlfn.WEBSERVICE(_xlfn.CONCAT("http://172.31.103.65:5000/symbol/",$C76,"/overallRisk/raw")))</f>
        <v>8</v>
      </c>
      <c r="L76" s="5">
        <f>_xlfn.NUMBERVALUE(SUBSTITUTE(_xlfn.WEBSERVICE(_xlfn.CONCAT("http://172.31.103.65:5000/symbol/",$C76,"/targetRatio/raw")),".",",",1))</f>
        <v>2.7576776252065401E-2</v>
      </c>
      <c r="M76" t="str">
        <f>_xlfn.WEBSERVICE(_xlfn.CONCAT("http://172.31.103.65:5000/symbol/",$C76,"/exDividendDate/raw"))</f>
        <v>11/06/2025</v>
      </c>
      <c r="N76" s="7">
        <f>_xlfn.NUMBERVALUE(SUBSTITUTE(SUBSTITUTE(_xlfn.WEBSERVICE(_xlfn.CONCAT("http://172.31.103.65:5000/symbol/",$C76,"/dividendRate/raw")),".",",",1),"-","0", 1))</f>
        <v>0.04</v>
      </c>
      <c r="O76" s="7">
        <f>_xlfn.NUMBERVALUE(SUBSTITUTE(_xlfn.WEBSERVICE(_xlfn.CONCAT("http://172.31.103.65:5000/symbol/",$C76,"/currentPrice/raw")),".",",",1))</f>
        <v>175.51</v>
      </c>
      <c r="P76" s="2">
        <f>N76/O76</f>
        <v>2.2790724175260671E-4</v>
      </c>
    </row>
    <row r="77" spans="1:16" x14ac:dyDescent="0.25">
      <c r="A77">
        <v>74</v>
      </c>
      <c r="B77" t="s">
        <v>19</v>
      </c>
      <c r="C77" t="s">
        <v>173</v>
      </c>
      <c r="D77" t="s">
        <v>174</v>
      </c>
      <c r="E77" s="2">
        <f>_xlfn.NUMBERVALUE(SUBSTITUTE(_xlfn.WEBSERVICE(_xlfn.CONCAT("http://172.31.103.65:5000/symbol/",$C77,"/annualGrowthRatio/raw")),".",",",1))</f>
        <v>0.861839340776134</v>
      </c>
      <c r="F77" s="2">
        <f>_xlfn.NUMBERVALUE(SUBSTITUTE(_xlfn.WEBSERVICE(_xlfn.CONCAT("http://172.31.103.65:5000/symbol/",$C77,"/debtToEquityPercentage/raw")),".",",",1))/100</f>
        <v>5.1958599999999997</v>
      </c>
      <c r="G77" s="2">
        <f>_xlfn.NUMBERVALUE(SUBSTITUTE(_xlfn.WEBSERVICE(_xlfn.CONCAT("http://172.31.103.65:5000/symbol/",$C77,"/ROE/raw")),".",",",1))</f>
        <v>0.60842989623979205</v>
      </c>
      <c r="H77" s="4">
        <f>_xlfn.NUMBERVALUE(SUBSTITUTE(_xlfn.WEBSERVICE(_xlfn.CONCAT("http://172.31.103.65:5000/symbol/",$C77,"/PERatio/raw")),".",",",1))</f>
        <v>57.732100000000003</v>
      </c>
      <c r="I77" s="5">
        <f>_xlfn.NUMBERVALUE(SUBSTITUTE(_xlfn.WEBSERVICE(_xlfn.CONCAT("http://172.31.103.65:5000/symbol/",$C77,"/discountToIntrinsicValueRatio/raw")),".",",",1))</f>
        <v>-1.49922517820901</v>
      </c>
      <c r="J77" t="str">
        <f>_xlfn.WEBSERVICE(_xlfn.CONCAT("http://172.31.103.65:5000/symbol/",$C77,"/recommendationKey/raw"))</f>
        <v>buy</v>
      </c>
      <c r="K77" s="4">
        <f>_xlfn.NUMBERVALUE(_xlfn.WEBSERVICE(_xlfn.CONCAT("http://172.31.103.65:5000/symbol/",$C77,"/overallRisk/raw")))</f>
        <v>10</v>
      </c>
      <c r="L77" s="5">
        <f>_xlfn.NUMBERVALUE(SUBSTITUTE(_xlfn.WEBSERVICE(_xlfn.CONCAT("http://172.31.103.65:5000/symbol/",$C77,"/targetRatio/raw")),".",",",1))</f>
        <v>-6.24591167293383E-2</v>
      </c>
      <c r="M77" t="str">
        <f>_xlfn.WEBSERVICE(_xlfn.CONCAT("http://172.31.103.65:5000/symbol/",$C77,"/exDividendDate/raw"))</f>
        <v>10/07/2025</v>
      </c>
      <c r="N77" s="7">
        <f>_xlfn.NUMBERVALUE(SUBSTITUTE(SUBSTITUTE(_xlfn.WEBSERVICE(_xlfn.CONCAT("http://172.31.103.65:5000/symbol/",$C77,"/dividendRate/raw")),".",",",1),"-","0", 1))</f>
        <v>2</v>
      </c>
      <c r="O77" s="7">
        <f>_xlfn.NUMBERVALUE(SUBSTITUTE(_xlfn.WEBSERVICE(_xlfn.CONCAT("http://172.31.103.65:5000/symbol/",$C77,"/currentPrice/raw")),".",",",1))</f>
        <v>249.98</v>
      </c>
      <c r="P77" s="2">
        <f>N77/O77</f>
        <v>8.0006400512040964E-3</v>
      </c>
    </row>
    <row r="78" spans="1:16" x14ac:dyDescent="0.25">
      <c r="A78">
        <v>75</v>
      </c>
      <c r="B78" t="s">
        <v>68</v>
      </c>
      <c r="C78" t="s">
        <v>175</v>
      </c>
      <c r="D78" t="s">
        <v>176</v>
      </c>
      <c r="E78" s="2">
        <f>_xlfn.NUMBERVALUE(SUBSTITUTE(_xlfn.WEBSERVICE(_xlfn.CONCAT("http://172.31.103.65:5000/symbol/",$C78,"/annualGrowthRatio/raw")),".",",",1))</f>
        <v>-0.138863587321152</v>
      </c>
      <c r="F78" s="2">
        <f>_xlfn.NUMBERVALUE(SUBSTITUTE(_xlfn.WEBSERVICE(_xlfn.CONCAT("http://172.31.103.65:5000/symbol/",$C78,"/debtToEquityPercentage/raw")),".",",",1))/100</f>
        <v>2.7686799999999998</v>
      </c>
      <c r="G78" s="2">
        <f>_xlfn.NUMBERVALUE(SUBSTITUTE(_xlfn.WEBSERVICE(_xlfn.CONCAT("http://172.31.103.65:5000/symbol/",$C78,"/ROE/raw")),".",",",1))</f>
        <v>0.41849122155091101</v>
      </c>
      <c r="H78" s="4">
        <f>_xlfn.NUMBERVALUE(SUBSTITUTE(_xlfn.WEBSERVICE(_xlfn.CONCAT("http://172.31.103.65:5000/symbol/",$C78,"/PERatio/raw")),".",",",1))</f>
        <v>26.209472999999999</v>
      </c>
      <c r="I78" s="5">
        <f>_xlfn.NUMBERVALUE(SUBSTITUTE(_xlfn.WEBSERVICE(_xlfn.CONCAT("http://172.31.103.65:5000/symbol/",$C78,"/discountToIntrinsicValueRatio/raw")),".",",",1))</f>
        <v>1.24067467187189</v>
      </c>
      <c r="J78" t="str">
        <f>_xlfn.WEBSERVICE(_xlfn.CONCAT("http://172.31.103.65:5000/symbol/",$C78,"/recommendationKey/raw"))</f>
        <v>hold</v>
      </c>
      <c r="K78" s="4">
        <f>_xlfn.NUMBERVALUE(_xlfn.WEBSERVICE(_xlfn.CONCAT("http://172.31.103.65:5000/symbol/",$C78,"/overallRisk/raw")))</f>
        <v>4</v>
      </c>
      <c r="L78" s="5">
        <f>_xlfn.NUMBERVALUE(SUBSTITUTE(_xlfn.WEBSERVICE(_xlfn.CONCAT("http://172.31.103.65:5000/symbol/",$C78,"/targetRatio/raw")),".",",",1))</f>
        <v>6.0882966154701602E-2</v>
      </c>
      <c r="M78" t="str">
        <f>_xlfn.WEBSERVICE(_xlfn.CONCAT("http://172.31.103.65:5000/symbol/",$C78,"/exDividendDate/raw"))</f>
        <v>05/09/2025</v>
      </c>
      <c r="N78" s="7">
        <f>_xlfn.NUMBERVALUE(SUBSTITUTE(SUBSTITUTE(_xlfn.WEBSERVICE(_xlfn.CONCAT("http://172.31.103.65:5000/symbol/",$C78,"/dividendRate/raw")),".",",",1),"-","0", 1))</f>
        <v>5.69</v>
      </c>
      <c r="O78" s="7">
        <f>_xlfn.NUMBERVALUE(SUBSTITUTE(_xlfn.WEBSERVICE(_xlfn.CONCAT("http://172.31.103.65:5000/symbol/",$C78,"/currentPrice/raw")),".",",",1))</f>
        <v>143.88999999999999</v>
      </c>
      <c r="P78" s="2">
        <f>N78/O78</f>
        <v>3.9544096184585452E-2</v>
      </c>
    </row>
    <row r="79" spans="1:16" x14ac:dyDescent="0.25">
      <c r="A79">
        <v>76</v>
      </c>
      <c r="B79" t="s">
        <v>22</v>
      </c>
      <c r="C79" t="s">
        <v>177</v>
      </c>
      <c r="D79" t="s">
        <v>178</v>
      </c>
      <c r="E79" s="2">
        <f>_xlfn.NUMBERVALUE(SUBSTITUTE(_xlfn.WEBSERVICE(_xlfn.CONCAT("http://172.31.103.65:5000/symbol/",$C79,"/annualGrowthRatio/raw")),".",",",1))</f>
        <v>-0.17154885568228601</v>
      </c>
      <c r="F79" s="2">
        <f>_xlfn.NUMBERVALUE(SUBSTITUTE(_xlfn.WEBSERVICE(_xlfn.CONCAT("http://172.31.103.65:5000/symbol/",$C79,"/debtToEquityPercentage/raw")),".",",",1))/100</f>
        <v>0.68842999999999999</v>
      </c>
      <c r="G79" s="2">
        <f>_xlfn.NUMBERVALUE(SUBSTITUTE(_xlfn.WEBSERVICE(_xlfn.CONCAT("http://172.31.103.65:5000/symbol/",$C79,"/ROE/raw")),".",",",1))</f>
        <v>8.9191975420337105E-2</v>
      </c>
      <c r="H79" s="4">
        <f>_xlfn.NUMBERVALUE(SUBSTITUTE(_xlfn.WEBSERVICE(_xlfn.CONCAT("http://172.31.103.65:5000/symbol/",$C79,"/PERatio/raw")),".",",",1))</f>
        <v>17.608695999999998</v>
      </c>
      <c r="I79" s="5">
        <f>_xlfn.NUMBERVALUE(SUBSTITUTE(_xlfn.WEBSERVICE(_xlfn.CONCAT("http://172.31.103.65:5000/symbol/",$C79,"/discountToIntrinsicValueRatio/raw")),".",",",1))</f>
        <v>9.3850931677018608</v>
      </c>
      <c r="J79" t="str">
        <f>_xlfn.WEBSERVICE(_xlfn.CONCAT("http://172.31.103.65:5000/symbol/",$C79,"/recommendationKey/raw"))</f>
        <v>buy</v>
      </c>
      <c r="K79" s="4">
        <f>_xlfn.NUMBERVALUE(_xlfn.WEBSERVICE(_xlfn.CONCAT("http://172.31.103.65:5000/symbol/",$C79,"/overallRisk/raw")))</f>
        <v>9</v>
      </c>
      <c r="L79" s="5">
        <f>_xlfn.NUMBERVALUE(SUBSTITUTE(_xlfn.WEBSERVICE(_xlfn.CONCAT("http://172.31.103.65:5000/symbol/",$C79,"/targetRatio/raw")),".",",",1))</f>
        <v>0.179947736625514</v>
      </c>
      <c r="M79" t="str">
        <f>_xlfn.WEBSERVICE(_xlfn.CONCAT("http://172.31.103.65:5000/symbol/",$C79,"/exDividendDate/raw"))</f>
        <v>25/07/2025</v>
      </c>
      <c r="N79" s="7">
        <f>_xlfn.NUMBERVALUE(SUBSTITUTE(SUBSTITUTE(_xlfn.WEBSERVICE(_xlfn.CONCAT("http://172.31.103.65:5000/symbol/",$C79,"/dividendRate/raw")),".",",",1),"-","0", 1))</f>
        <v>1.72</v>
      </c>
      <c r="O79" s="7">
        <f>_xlfn.NUMBERVALUE(SUBSTITUTE(_xlfn.WEBSERVICE(_xlfn.CONCAT("http://172.31.103.65:5000/symbol/",$C79,"/currentPrice/raw")),".",",",1))</f>
        <v>24.3</v>
      </c>
      <c r="P79" s="2">
        <f>N79/O79</f>
        <v>7.0781893004115221E-2</v>
      </c>
    </row>
    <row r="80" spans="1:16" x14ac:dyDescent="0.25">
      <c r="A80">
        <v>77</v>
      </c>
      <c r="B80" t="s">
        <v>68</v>
      </c>
      <c r="C80" t="s">
        <v>179</v>
      </c>
      <c r="D80" t="s">
        <v>180</v>
      </c>
      <c r="E80" s="2">
        <f>_xlfn.NUMBERVALUE(SUBSTITUTE(_xlfn.WEBSERVICE(_xlfn.CONCAT("http://172.31.103.65:5000/symbol/",$C80,"/annualGrowthRatio/raw")),".",",",1))</f>
        <v>-6.9888005102251198E-3</v>
      </c>
      <c r="F80" s="2">
        <f>_xlfn.NUMBERVALUE(SUBSTITUTE(_xlfn.WEBSERVICE(_xlfn.CONCAT("http://172.31.103.65:5000/symbol/",$C80,"/debtToEquityPercentage/raw")),".",",",1))/100</f>
        <v>0.64974999999999994</v>
      </c>
      <c r="G80" s="2">
        <f>_xlfn.NUMBERVALUE(SUBSTITUTE(_xlfn.WEBSERVICE(_xlfn.CONCAT("http://172.31.103.65:5000/symbol/",$C80,"/ROE/raw")),".",",",1))</f>
        <v>0.30239031969136498</v>
      </c>
      <c r="H80" s="4">
        <f>_xlfn.NUMBERVALUE(SUBSTITUTE(_xlfn.WEBSERVICE(_xlfn.CONCAT("http://172.31.103.65:5000/symbol/",$C80,"/PERatio/raw")),".",",",1))</f>
        <v>24.858730000000001</v>
      </c>
      <c r="I80" s="5">
        <f>_xlfn.NUMBERVALUE(SUBSTITUTE(_xlfn.WEBSERVICE(_xlfn.CONCAT("http://172.31.103.65:5000/symbol/",$C80,"/discountToIntrinsicValueRatio/raw")),".",",",1))</f>
        <v>-1.2395252395252301</v>
      </c>
      <c r="J80" t="str">
        <f>_xlfn.WEBSERVICE(_xlfn.CONCAT("http://172.31.103.65:5000/symbol/",$C80,"/recommendationKey/raw"))</f>
        <v>buy</v>
      </c>
      <c r="K80" s="4">
        <f>_xlfn.NUMBERVALUE(_xlfn.WEBSERVICE(_xlfn.CONCAT("http://172.31.103.65:5000/symbol/",$C80,"/overallRisk/raw")))</f>
        <v>2</v>
      </c>
      <c r="L80" s="5">
        <f>_xlfn.NUMBERVALUE(SUBSTITUTE(_xlfn.WEBSERVICE(_xlfn.CONCAT("http://172.31.103.65:5000/symbol/",$C80,"/targetRatio/raw")),".",",",1))</f>
        <v>9.6445310005746701E-2</v>
      </c>
      <c r="M80" t="str">
        <f>_xlfn.WEBSERVICE(_xlfn.CONCAT("http://172.31.103.65:5000/symbol/",$C80,"/exDividendDate/raw"))</f>
        <v>18/07/2025</v>
      </c>
      <c r="N80" s="7">
        <f>_xlfn.NUMBERVALUE(SUBSTITUTE(SUBSTITUTE(_xlfn.WEBSERVICE(_xlfn.CONCAT("http://172.31.103.65:5000/symbol/",$C80,"/dividendRate/raw")),".",",",1),"-","0", 1))</f>
        <v>4.2300000000000004</v>
      </c>
      <c r="O80" s="7">
        <f>_xlfn.NUMBERVALUE(SUBSTITUTE(_xlfn.WEBSERVICE(_xlfn.CONCAT("http://172.31.103.65:5000/symbol/",$C80,"/currentPrice/raw")),".",",",1))</f>
        <v>156.61000000000001</v>
      </c>
      <c r="P80" s="2">
        <f>N80/O80</f>
        <v>2.7009769491092524E-2</v>
      </c>
    </row>
    <row r="81" spans="1:16" x14ac:dyDescent="0.25">
      <c r="A81">
        <v>78</v>
      </c>
      <c r="B81" t="s">
        <v>19</v>
      </c>
      <c r="C81" t="s">
        <v>181</v>
      </c>
      <c r="D81" t="s">
        <v>182</v>
      </c>
      <c r="E81" s="2">
        <f>_xlfn.NUMBERVALUE(SUBSTITUTE(_xlfn.WEBSERVICE(_xlfn.CONCAT("http://172.31.103.65:5000/symbol/",$C81,"/annualGrowthRatio/raw")),".",",",1))</f>
        <v>4.9249144872056796</v>
      </c>
      <c r="F81" s="2">
        <f>_xlfn.NUMBERVALUE(SUBSTITUTE(_xlfn.WEBSERVICE(_xlfn.CONCAT("http://172.31.103.65:5000/symbol/",$C81,"/debtToEquityPercentage/raw")),".",",",1))/100</f>
        <v>4.4320000000000005E-2</v>
      </c>
      <c r="G81" s="2">
        <f>_xlfn.NUMBERVALUE(SUBSTITUTE(_xlfn.WEBSERVICE(_xlfn.CONCAT("http://172.31.103.65:5000/symbol/",$C81,"/ROE/raw")),".",",",1))</f>
        <v>0.11406349001403999</v>
      </c>
      <c r="H81" s="4">
        <f>_xlfn.NUMBERVALUE(SUBSTITUTE(_xlfn.WEBSERVICE(_xlfn.CONCAT("http://172.31.103.65:5000/symbol/",$C81,"/PERatio/raw")),".",",",1))</f>
        <v>651.00005999999996</v>
      </c>
      <c r="I81" s="5">
        <f>_xlfn.NUMBERVALUE(SUBSTITUTE(_xlfn.WEBSERVICE(_xlfn.CONCAT("http://172.31.103.65:5000/symbol/",$C81,"/discountToIntrinsicValueRatio/raw")),".",",",1))</f>
        <v>-2.1223021582733801</v>
      </c>
      <c r="J81" t="str">
        <f>_xlfn.WEBSERVICE(_xlfn.CONCAT("http://172.31.103.65:5000/symbol/",$C81,"/recommendationKey/raw"))</f>
        <v>hold</v>
      </c>
      <c r="K81" s="4">
        <f>_xlfn.NUMBERVALUE(_xlfn.WEBSERVICE(_xlfn.CONCAT("http://172.31.103.65:5000/symbol/",$C81,"/overallRisk/raw")))</f>
        <v>10</v>
      </c>
      <c r="L81" s="5">
        <f>_xlfn.NUMBERVALUE(SUBSTITUTE(_xlfn.WEBSERVICE(_xlfn.CONCAT("http://172.31.103.65:5000/symbol/",$C81,"/targetRatio/raw")),".",",",1))</f>
        <v>-0.292504544290834</v>
      </c>
      <c r="M81" t="str">
        <f>_xlfn.WEBSERVICE(_xlfn.CONCAT("http://172.31.103.65:5000/symbol/",$C81,"/exDividendDate/raw"))</f>
        <v>-</v>
      </c>
      <c r="N81" s="7">
        <f>_xlfn.NUMBERVALUE(SUBSTITUTE(SUBSTITUTE(_xlfn.WEBSERVICE(_xlfn.CONCAT("http://172.31.103.65:5000/symbol/",$C81,"/dividendRate/raw")),".",",",1),"-","0", 1))</f>
        <v>0</v>
      </c>
      <c r="O81" s="7">
        <f>_xlfn.NUMBERVALUE(SUBSTITUTE(_xlfn.WEBSERVICE(_xlfn.CONCAT("http://172.31.103.65:5000/symbol/",$C81,"/currentPrice/raw")),".",",",1))</f>
        <v>156.24</v>
      </c>
      <c r="P81" s="2">
        <f>N81/O81</f>
        <v>0</v>
      </c>
    </row>
    <row r="82" spans="1:16" x14ac:dyDescent="0.25">
      <c r="A82">
        <v>79</v>
      </c>
      <c r="B82" t="s">
        <v>68</v>
      </c>
      <c r="C82" t="s">
        <v>183</v>
      </c>
      <c r="D82" t="s">
        <v>184</v>
      </c>
      <c r="E82" s="2">
        <f>_xlfn.NUMBERVALUE(SUBSTITUTE(_xlfn.WEBSERVICE(_xlfn.CONCAT("http://172.31.103.65:5000/symbol/",$C82,"/annualGrowthRatio/raw")),".",",",1))</f>
        <v>0.47459645718890697</v>
      </c>
      <c r="F82" s="2" t="e">
        <f>_xlfn.NUMBERVALUE(SUBSTITUTE(_xlfn.WEBSERVICE(_xlfn.CONCAT("http://172.31.103.65:5000/symbol/",$C82,"/debtToEquityPercentage/raw")),".",",",1))/100</f>
        <v>#VALUE!</v>
      </c>
      <c r="G82" s="2">
        <f>_xlfn.NUMBERVALUE(SUBSTITUTE(_xlfn.WEBSERVICE(_xlfn.CONCAT("http://172.31.103.65:5000/symbol/",$C82,"/ROE/raw")),".",",",1))</f>
        <v>-0.69846809055319103</v>
      </c>
      <c r="H82" s="4">
        <f>_xlfn.NUMBERVALUE(SUBSTITUTE(_xlfn.WEBSERVICE(_xlfn.CONCAT("http://172.31.103.65:5000/symbol/",$C82,"/PERatio/raw")),".",",",1))</f>
        <v>24.11111</v>
      </c>
      <c r="I82" s="5">
        <f>_xlfn.NUMBERVALUE(SUBSTITUTE(_xlfn.WEBSERVICE(_xlfn.CONCAT("http://172.31.103.65:5000/symbol/",$C82,"/discountToIntrinsicValueRatio/raw")),".",",",1))</f>
        <v>0.60667029182526699</v>
      </c>
      <c r="J82" t="str">
        <f>_xlfn.WEBSERVICE(_xlfn.CONCAT("http://172.31.103.65:5000/symbol/",$C82,"/recommendationKey/raw"))</f>
        <v>buy</v>
      </c>
      <c r="K82" s="4">
        <f>_xlfn.NUMBERVALUE(_xlfn.WEBSERVICE(_xlfn.CONCAT("http://172.31.103.65:5000/symbol/",$C82,"/overallRisk/raw")))</f>
        <v>4</v>
      </c>
      <c r="L82" s="5">
        <f>_xlfn.NUMBERVALUE(SUBSTITUTE(_xlfn.WEBSERVICE(_xlfn.CONCAT("http://172.31.103.65:5000/symbol/",$C82,"/targetRatio/raw")),".",",",1))</f>
        <v>0.14784946236559099</v>
      </c>
      <c r="M82" t="str">
        <f>_xlfn.WEBSERVICE(_xlfn.CONCAT("http://172.31.103.65:5000/symbol/",$C82,"/exDividendDate/raw"))</f>
        <v>27/06/2025</v>
      </c>
      <c r="N82" s="7">
        <f>_xlfn.NUMBERVALUE(SUBSTITUTE(SUBSTITUTE(_xlfn.WEBSERVICE(_xlfn.CONCAT("http://172.31.103.65:5000/symbol/",$C82,"/dividendRate/raw")),".",",",1),"-","0", 1))</f>
        <v>5.4</v>
      </c>
      <c r="O82" s="7">
        <f>_xlfn.NUMBERVALUE(SUBSTITUTE(_xlfn.WEBSERVICE(_xlfn.CONCAT("http://172.31.103.65:5000/symbol/",$C82,"/currentPrice/raw")),".",",",1))</f>
        <v>162.75</v>
      </c>
      <c r="P82" s="2">
        <f>N82/O82</f>
        <v>3.3179723502304151E-2</v>
      </c>
    </row>
    <row r="83" spans="1:16" x14ac:dyDescent="0.25">
      <c r="A83">
        <v>80</v>
      </c>
      <c r="B83" t="s">
        <v>31</v>
      </c>
      <c r="C83" t="s">
        <v>185</v>
      </c>
      <c r="D83" t="s">
        <v>186</v>
      </c>
      <c r="E83" s="2">
        <f>_xlfn.NUMBERVALUE(SUBSTITUTE(_xlfn.WEBSERVICE(_xlfn.CONCAT("http://172.31.103.65:5000/symbol/",$C83,"/annualGrowthRatio/raw")),".",",",1))</f>
        <v>0.11640625</v>
      </c>
      <c r="F83" s="2">
        <f>_xlfn.NUMBERVALUE(SUBSTITUTE(_xlfn.WEBSERVICE(_xlfn.CONCAT("http://172.31.103.65:5000/symbol/",$C83,"/debtToEquityPercentage/raw")),".",",",1))/100</f>
        <v>0.66040999999999994</v>
      </c>
      <c r="G83" s="2">
        <f>_xlfn.NUMBERVALUE(SUBSTITUTE(_xlfn.WEBSERVICE(_xlfn.CONCAT("http://172.31.103.65:5000/symbol/",$C83,"/ROE/raw")),".",",",1))</f>
        <v>0.22265758299456301</v>
      </c>
      <c r="H83" s="4">
        <f>_xlfn.NUMBERVALUE(SUBSTITUTE(_xlfn.WEBSERVICE(_xlfn.CONCAT("http://172.31.103.65:5000/symbol/",$C83,"/PERatio/raw")),".",",",1))</f>
        <v>16.056180000000001</v>
      </c>
      <c r="I83" s="5">
        <f>_xlfn.NUMBERVALUE(SUBSTITUTE(_xlfn.WEBSERVICE(_xlfn.CONCAT("http://172.31.103.65:5000/symbol/",$C83,"/discountToIntrinsicValueRatio/raw")),".",",",1))</f>
        <v>0.86541341345112399</v>
      </c>
      <c r="J83" t="str">
        <f>_xlfn.WEBSERVICE(_xlfn.CONCAT("http://172.31.103.65:5000/symbol/",$C83,"/recommendationKey/raw"))</f>
        <v>buy</v>
      </c>
      <c r="K83" s="4">
        <f>_xlfn.NUMBERVALUE(_xlfn.WEBSERVICE(_xlfn.CONCAT("http://172.31.103.65:5000/symbol/",$C83,"/overallRisk/raw")))</f>
        <v>2</v>
      </c>
      <c r="L83" s="5">
        <f>_xlfn.NUMBERVALUE(SUBSTITUTE(_xlfn.WEBSERVICE(_xlfn.CONCAT("http://172.31.103.65:5000/symbol/",$C83,"/targetRatio/raw")),".",",",1))</f>
        <v>0.163586284114765</v>
      </c>
      <c r="M83" t="str">
        <f>_xlfn.WEBSERVICE(_xlfn.CONCAT("http://172.31.103.65:5000/symbol/",$C83,"/exDividendDate/raw"))</f>
        <v>-</v>
      </c>
      <c r="N83" s="7">
        <f>_xlfn.NUMBERVALUE(SUBSTITUTE(SUBSTITUTE(_xlfn.WEBSERVICE(_xlfn.CONCAT("http://172.31.103.65:5000/symbol/",$C83,"/dividendRate/raw")),".",",",1),"-","0", 1))</f>
        <v>0</v>
      </c>
      <c r="O83" s="7">
        <f>_xlfn.NUMBERVALUE(SUBSTITUTE(_xlfn.WEBSERVICE(_xlfn.CONCAT("http://172.31.103.65:5000/symbol/",$C83,"/currentPrice/raw")),".",",",1))</f>
        <v>71.45</v>
      </c>
      <c r="P83" s="2">
        <f>N83/O83</f>
        <v>0</v>
      </c>
    </row>
    <row r="84" spans="1:16" x14ac:dyDescent="0.25">
      <c r="A84">
        <v>81</v>
      </c>
      <c r="B84" t="s">
        <v>19</v>
      </c>
      <c r="C84" t="s">
        <v>187</v>
      </c>
      <c r="D84" t="s">
        <v>188</v>
      </c>
      <c r="E84" s="2">
        <f>_xlfn.NUMBERVALUE(SUBSTITUTE(_xlfn.WEBSERVICE(_xlfn.CONCAT("http://172.31.103.65:5000/symbol/",$C84,"/annualGrowthRatio/raw")),".",",",1))</f>
        <v>-7.7754954221799701E-3</v>
      </c>
      <c r="F84" s="2">
        <f>_xlfn.NUMBERVALUE(SUBSTITUTE(_xlfn.WEBSERVICE(_xlfn.CONCAT("http://172.31.103.65:5000/symbol/",$C84,"/debtToEquityPercentage/raw")),".",",",1))/100</f>
        <v>0.52737000000000001</v>
      </c>
      <c r="G84" s="2">
        <f>_xlfn.NUMBERVALUE(SUBSTITUTE(_xlfn.WEBSERVICE(_xlfn.CONCAT("http://172.31.103.65:5000/symbol/",$C84,"/ROE/raw")),".",",",1))</f>
        <v>0.41923574880109599</v>
      </c>
      <c r="H84" s="4">
        <f>_xlfn.NUMBERVALUE(SUBSTITUTE(_xlfn.WEBSERVICE(_xlfn.CONCAT("http://172.31.103.65:5000/symbol/",$C84,"/PERatio/raw")),".",",",1))</f>
        <v>16.521915</v>
      </c>
      <c r="I84" s="5">
        <f>_xlfn.NUMBERVALUE(SUBSTITUTE(_xlfn.WEBSERVICE(_xlfn.CONCAT("http://172.31.103.65:5000/symbol/",$C84,"/discountToIntrinsicValueRatio/raw")),".",",",1))</f>
        <v>0.685296830250958</v>
      </c>
      <c r="J84" t="str">
        <f>_xlfn.WEBSERVICE(_xlfn.CONCAT("http://172.31.103.65:5000/symbol/",$C84,"/recommendationKey/raw"))</f>
        <v>buy</v>
      </c>
      <c r="K84" s="4">
        <f>_xlfn.NUMBERVALUE(_xlfn.WEBSERVICE(_xlfn.CONCAT("http://172.31.103.65:5000/symbol/",$C84,"/overallRisk/raw")))</f>
        <v>2</v>
      </c>
      <c r="L84" s="5">
        <f>_xlfn.NUMBERVALUE(SUBSTITUTE(_xlfn.WEBSERVICE(_xlfn.CONCAT("http://172.31.103.65:5000/symbol/",$C84,"/targetRatio/raw")),".",",",1))</f>
        <v>8.7094644619940695E-2</v>
      </c>
      <c r="M84" t="str">
        <f>_xlfn.WEBSERVICE(_xlfn.CONCAT("http://172.31.103.65:5000/symbol/",$C84,"/exDividendDate/raw"))</f>
        <v>04/09/2025</v>
      </c>
      <c r="N84" s="7">
        <f>_xlfn.NUMBERVALUE(SUBSTITUTE(SUBSTITUTE(_xlfn.WEBSERVICE(_xlfn.CONCAT("http://172.31.103.65:5000/symbol/",$C84,"/dividendRate/raw")),".",",",1),"-","0", 1))</f>
        <v>3.56</v>
      </c>
      <c r="O84" s="7">
        <f>_xlfn.NUMBERVALUE(SUBSTITUTE(_xlfn.WEBSERVICE(_xlfn.CONCAT("http://172.31.103.65:5000/symbol/",$C84,"/currentPrice/raw")),".",",",1))</f>
        <v>162.08000000000001</v>
      </c>
      <c r="P84" s="2">
        <f>N84/O84</f>
        <v>2.1964461994076999E-2</v>
      </c>
    </row>
    <row r="85" spans="1:16" x14ac:dyDescent="0.25">
      <c r="A85">
        <v>82</v>
      </c>
      <c r="B85" t="s">
        <v>47</v>
      </c>
      <c r="C85" t="s">
        <v>189</v>
      </c>
      <c r="D85" t="s">
        <v>190</v>
      </c>
      <c r="E85" s="2">
        <f>_xlfn.NUMBERVALUE(SUBSTITUTE(_xlfn.WEBSERVICE(_xlfn.CONCAT("http://172.31.103.65:5000/symbol/",$C85,"/annualGrowthRatio/raw")),".",",",1))</f>
        <v>0.37251396454435598</v>
      </c>
      <c r="F85" s="2">
        <f>_xlfn.NUMBERVALUE(SUBSTITUTE(_xlfn.WEBSERVICE(_xlfn.CONCAT("http://172.31.103.65:5000/symbol/",$C85,"/debtToEquityPercentage/raw")),".",",",1))/100</f>
        <v>0.67854999999999999</v>
      </c>
      <c r="G85" s="2">
        <f>_xlfn.NUMBERVALUE(SUBSTITUTE(_xlfn.WEBSERVICE(_xlfn.CONCAT("http://172.31.103.65:5000/symbol/",$C85,"/ROE/raw")),".",",",1))</f>
        <v>0.10216769519249901</v>
      </c>
      <c r="H85" s="4">
        <f>_xlfn.NUMBERVALUE(SUBSTITUTE(_xlfn.WEBSERVICE(_xlfn.CONCAT("http://172.31.103.65:5000/symbol/",$C85,"/PERatio/raw")),".",",",1))</f>
        <v>34.456139999999998</v>
      </c>
      <c r="I85" s="5">
        <f>_xlfn.NUMBERVALUE(SUBSTITUTE(_xlfn.WEBSERVICE(_xlfn.CONCAT("http://172.31.103.65:5000/symbol/",$C85,"/discountToIntrinsicValueRatio/raw")),".",",",1))</f>
        <v>0.98794607649085897</v>
      </c>
      <c r="J85" t="str">
        <f>_xlfn.WEBSERVICE(_xlfn.CONCAT("http://172.31.103.65:5000/symbol/",$C85,"/recommendationKey/raw"))</f>
        <v>buy</v>
      </c>
      <c r="K85" s="4">
        <f>_xlfn.NUMBERVALUE(_xlfn.WEBSERVICE(_xlfn.CONCAT("http://172.31.103.65:5000/symbol/",$C85,"/overallRisk/raw")))</f>
        <v>2</v>
      </c>
      <c r="L85" s="5">
        <f>_xlfn.NUMBERVALUE(SUBSTITUTE(_xlfn.WEBSERVICE(_xlfn.CONCAT("http://172.31.103.65:5000/symbol/",$C85,"/targetRatio/raw")),".",",",1))</f>
        <v>4.71219450101832E-2</v>
      </c>
      <c r="M85" t="str">
        <f>_xlfn.WEBSERVICE(_xlfn.CONCAT("http://172.31.103.65:5000/symbol/",$C85,"/exDividendDate/raw"))</f>
        <v>15/08/2025</v>
      </c>
      <c r="N85" s="7">
        <f>_xlfn.NUMBERVALUE(SUBSTITUTE(SUBSTITUTE(_xlfn.WEBSERVICE(_xlfn.CONCAT("http://172.31.103.65:5000/symbol/",$C85,"/dividendRate/raw")),".",",",1),"-","0", 1))</f>
        <v>2.72</v>
      </c>
      <c r="O85" s="7">
        <f>_xlfn.NUMBERVALUE(SUBSTITUTE(_xlfn.WEBSERVICE(_xlfn.CONCAT("http://172.31.103.65:5000/symbol/",$C85,"/currentPrice/raw")),".",",",1))</f>
        <v>157.12</v>
      </c>
      <c r="P85" s="2">
        <f>N85/O85</f>
        <v>1.7311608961303463E-2</v>
      </c>
    </row>
    <row r="86" spans="1:16" x14ac:dyDescent="0.25">
      <c r="A86">
        <v>83</v>
      </c>
      <c r="B86" t="s">
        <v>40</v>
      </c>
      <c r="C86" t="s">
        <v>191</v>
      </c>
      <c r="D86" t="s">
        <v>192</v>
      </c>
      <c r="E86" s="2">
        <f>_xlfn.NUMBERVALUE(SUBSTITUTE(_xlfn.WEBSERVICE(_xlfn.CONCAT("http://172.31.103.65:5000/symbol/",$C86,"/annualGrowthRatio/raw")),".",",",1))</f>
        <v>0.25463629977607999</v>
      </c>
      <c r="F86" s="2" t="e">
        <f>_xlfn.NUMBERVALUE(SUBSTITUTE(_xlfn.WEBSERVICE(_xlfn.CONCAT("http://172.31.103.65:5000/symbol/",$C86,"/debtToEquityPercentage/raw")),".",",",1))/100</f>
        <v>#VALUE!</v>
      </c>
      <c r="G86" s="2">
        <f>_xlfn.NUMBERVALUE(SUBSTITUTE(_xlfn.WEBSERVICE(_xlfn.CONCAT("http://172.31.103.65:5000/symbol/",$C86,"/ROE/raw")),".",",",1))</f>
        <v>-0.42007545167742799</v>
      </c>
      <c r="H86" s="4">
        <f>_xlfn.NUMBERVALUE(SUBSTITUTE(_xlfn.WEBSERVICE(_xlfn.CONCAT("http://172.31.103.65:5000/symbol/",$C86,"/PERatio/raw")),".",",",1))</f>
        <v>33.803635</v>
      </c>
      <c r="I86" s="5">
        <f>_xlfn.NUMBERVALUE(SUBSTITUTE(_xlfn.WEBSERVICE(_xlfn.CONCAT("http://172.31.103.65:5000/symbol/",$C86,"/discountToIntrinsicValueRatio/raw")),".",",",1))</f>
        <v>1.3670318823413199</v>
      </c>
      <c r="J86" t="str">
        <f>_xlfn.WEBSERVICE(_xlfn.CONCAT("http://172.31.103.65:5000/symbol/",$C86,"/recommendationKey/raw"))</f>
        <v>buy</v>
      </c>
      <c r="K86" s="4">
        <f>_xlfn.NUMBERVALUE(_xlfn.WEBSERVICE(_xlfn.CONCAT("http://172.31.103.65:5000/symbol/",$C86,"/overallRisk/raw")))</f>
        <v>8</v>
      </c>
      <c r="L86" s="5">
        <f>_xlfn.NUMBERVALUE(SUBSTITUTE(_xlfn.WEBSERVICE(_xlfn.CONCAT("http://172.31.103.65:5000/symbol/",$C86,"/targetRatio/raw")),".",",",1))</f>
        <v>1.8235477624784901E-2</v>
      </c>
      <c r="M86" t="str">
        <f>_xlfn.WEBSERVICE(_xlfn.CONCAT("http://172.31.103.65:5000/symbol/",$C86,"/exDividendDate/raw"))</f>
        <v>15/08/2025</v>
      </c>
      <c r="N86" s="7">
        <f>_xlfn.NUMBERVALUE(SUBSTITUTE(SUBSTITUTE(_xlfn.WEBSERVICE(_xlfn.CONCAT("http://172.31.103.65:5000/symbol/",$C86,"/dividendRate/raw")),".",",",1),"-","0", 1))</f>
        <v>2.44</v>
      </c>
      <c r="O86" s="7">
        <f>_xlfn.NUMBERVALUE(SUBSTITUTE(_xlfn.WEBSERVICE(_xlfn.CONCAT("http://172.31.103.65:5000/symbol/",$C86,"/currentPrice/raw")),".",",",1))</f>
        <v>92.96</v>
      </c>
      <c r="P86" s="2">
        <f>N86/O86</f>
        <v>2.6247848537005163E-2</v>
      </c>
    </row>
    <row r="87" spans="1:16" x14ac:dyDescent="0.25">
      <c r="A87">
        <v>84</v>
      </c>
      <c r="B87" t="s">
        <v>31</v>
      </c>
      <c r="C87" t="s">
        <v>193</v>
      </c>
      <c r="D87" t="s">
        <v>194</v>
      </c>
      <c r="E87" s="2">
        <f>_xlfn.NUMBERVALUE(SUBSTITUTE(_xlfn.WEBSERVICE(_xlfn.CONCAT("http://172.31.103.65:5000/symbol/",$C87,"/annualGrowthRatio/raw")),".",",",1))</f>
        <v>0.52956057935002598</v>
      </c>
      <c r="F87" s="2">
        <f>_xlfn.NUMBERVALUE(SUBSTITUTE(_xlfn.WEBSERVICE(_xlfn.CONCAT("http://172.31.103.65:5000/symbol/",$C87,"/debtToEquityPercentage/raw")),".",",",1))/100</f>
        <v>1.10198</v>
      </c>
      <c r="G87" s="2">
        <f>_xlfn.NUMBERVALUE(SUBSTITUTE(_xlfn.WEBSERVICE(_xlfn.CONCAT("http://172.31.103.65:5000/symbol/",$C87,"/ROE/raw")),".",",",1))</f>
        <v>0.14034108924031</v>
      </c>
      <c r="H87" s="4">
        <f>_xlfn.NUMBERVALUE(SUBSTITUTE(_xlfn.WEBSERVICE(_xlfn.CONCAT("http://172.31.103.65:5000/symbol/",$C87,"/PERatio/raw")),".",",",1))</f>
        <v>26.319893</v>
      </c>
      <c r="I87" s="5">
        <f>_xlfn.NUMBERVALUE(SUBSTITUTE(_xlfn.WEBSERVICE(_xlfn.CONCAT("http://172.31.103.65:5000/symbol/",$C87,"/discountToIntrinsicValueRatio/raw")),".",",",1))</f>
        <v>0.80604353372794202</v>
      </c>
      <c r="J87" t="str">
        <f>_xlfn.WEBSERVICE(_xlfn.CONCAT("http://172.31.103.65:5000/symbol/",$C87,"/recommendationKey/raw"))</f>
        <v>buy</v>
      </c>
      <c r="K87" s="4">
        <f>_xlfn.NUMBERVALUE(_xlfn.WEBSERVICE(_xlfn.CONCAT("http://172.31.103.65:5000/symbol/",$C87,"/overallRisk/raw")))</f>
        <v>9</v>
      </c>
      <c r="L87" s="5">
        <f>_xlfn.NUMBERVALUE(SUBSTITUTE(_xlfn.WEBSERVICE(_xlfn.CONCAT("http://172.31.103.65:5000/symbol/",$C87,"/targetRatio/raw")),".",",",1))</f>
        <v>9.3975181288938794E-2</v>
      </c>
      <c r="M87" t="str">
        <f>_xlfn.WEBSERVICE(_xlfn.CONCAT("http://172.31.103.65:5000/symbol/",$C87,"/exDividendDate/raw"))</f>
        <v>08/08/2025</v>
      </c>
      <c r="N87" s="7">
        <f>_xlfn.NUMBERVALUE(SUBSTITUTE(SUBSTITUTE(_xlfn.WEBSERVICE(_xlfn.CONCAT("http://172.31.103.65:5000/symbol/",$C87,"/dividendRate/raw")),".",",",1),"-","0", 1))</f>
        <v>1.08</v>
      </c>
      <c r="O87" s="7">
        <f>_xlfn.NUMBERVALUE(SUBSTITUTE(_xlfn.WEBSERVICE(_xlfn.CONCAT("http://172.31.103.65:5000/symbol/",$C87,"/currentPrice/raw")),".",",",1))</f>
        <v>97.91</v>
      </c>
      <c r="P87" s="2">
        <f>N87/O87</f>
        <v>1.1030538249412728E-2</v>
      </c>
    </row>
    <row r="88" spans="1:16" x14ac:dyDescent="0.25">
      <c r="A88">
        <v>85</v>
      </c>
      <c r="B88" t="s">
        <v>94</v>
      </c>
      <c r="C88" t="s">
        <v>195</v>
      </c>
      <c r="D88" t="s">
        <v>196</v>
      </c>
      <c r="E88" s="2">
        <f>_xlfn.NUMBERVALUE(SUBSTITUTE(_xlfn.WEBSERVICE(_xlfn.CONCAT("http://172.31.103.65:5000/symbol/",$C88,"/annualGrowthRatio/raw")),".",",",1))</f>
        <v>0.18044913065002199</v>
      </c>
      <c r="F88" s="2">
        <f>_xlfn.NUMBERVALUE(SUBSTITUTE(_xlfn.WEBSERVICE(_xlfn.CONCAT("http://172.31.103.65:5000/symbol/",$C88,"/debtToEquityPercentage/raw")),".",",",1))/100</f>
        <v>1.8837799999999998</v>
      </c>
      <c r="G88" s="2">
        <f>_xlfn.NUMBERVALUE(SUBSTITUTE(_xlfn.WEBSERVICE(_xlfn.CONCAT("http://172.31.103.65:5000/symbol/",$C88,"/ROE/raw")),".",",",1))</f>
        <v>0.13870152156106899</v>
      </c>
      <c r="H88" s="4">
        <f>_xlfn.NUMBERVALUE(SUBSTITUTE(_xlfn.WEBSERVICE(_xlfn.CONCAT("http://172.31.103.65:5000/symbol/",$C88,"/PERatio/raw")),".",",",1))</f>
        <v>22.829734999999999</v>
      </c>
      <c r="I88" s="5">
        <f>_xlfn.NUMBERVALUE(SUBSTITUTE(_xlfn.WEBSERVICE(_xlfn.CONCAT("http://172.31.103.65:5000/symbol/",$C88,"/discountToIntrinsicValueRatio/raw")),".",",",1))</f>
        <v>0.47517847790732898</v>
      </c>
      <c r="J88" t="str">
        <f>_xlfn.WEBSERVICE(_xlfn.CONCAT("http://172.31.103.65:5000/symbol/",$C88,"/recommendationKey/raw"))</f>
        <v>buy</v>
      </c>
      <c r="K88" s="4">
        <f>_xlfn.NUMBERVALUE(_xlfn.WEBSERVICE(_xlfn.CONCAT("http://172.31.103.65:5000/symbol/",$C88,"/overallRisk/raw")))</f>
        <v>1</v>
      </c>
      <c r="L88" s="5">
        <f>_xlfn.NUMBERVALUE(SUBSTITUTE(_xlfn.WEBSERVICE(_xlfn.CONCAT("http://172.31.103.65:5000/symbol/",$C88,"/targetRatio/raw")),".",",",1))</f>
        <v>4.0265756302520998E-3</v>
      </c>
      <c r="M88" t="str">
        <f>_xlfn.WEBSERVICE(_xlfn.CONCAT("http://172.31.103.65:5000/symbol/",$C88,"/exDividendDate/raw"))</f>
        <v>18/08/2025</v>
      </c>
      <c r="N88" s="7">
        <f>_xlfn.NUMBERVALUE(SUBSTITUTE(SUBSTITUTE(_xlfn.WEBSERVICE(_xlfn.CONCAT("http://172.31.103.65:5000/symbol/",$C88,"/dividendRate/raw")),".",",",1),"-","0", 1))</f>
        <v>2.96</v>
      </c>
      <c r="O88" s="7">
        <f>_xlfn.NUMBERVALUE(SUBSTITUTE(_xlfn.WEBSERVICE(_xlfn.CONCAT("http://172.31.103.65:5000/symbol/",$C88,"/currentPrice/raw")),".",",",1))</f>
        <v>95.2</v>
      </c>
      <c r="P88" s="2">
        <f>N88/O88</f>
        <v>3.1092436974789913E-2</v>
      </c>
    </row>
    <row r="89" spans="1:16" x14ac:dyDescent="0.25">
      <c r="A89">
        <v>86</v>
      </c>
      <c r="B89" t="s">
        <v>4</v>
      </c>
      <c r="C89" t="s">
        <v>197</v>
      </c>
      <c r="D89" t="s">
        <v>198</v>
      </c>
      <c r="E89" s="2">
        <f>_xlfn.NUMBERVALUE(SUBSTITUTE(_xlfn.WEBSERVICE(_xlfn.CONCAT("http://172.31.103.65:5000/symbol/",$C89,"/annualGrowthRatio/raw")),".",",",1))</f>
        <v>0.14072000676854199</v>
      </c>
      <c r="F89" s="2">
        <f>_xlfn.NUMBERVALUE(SUBSTITUTE(_xlfn.WEBSERVICE(_xlfn.CONCAT("http://172.31.103.65:5000/symbol/",$C89,"/debtToEquityPercentage/raw")),".",",",1))/100</f>
        <v>7.7347199999999994</v>
      </c>
      <c r="G89" s="2">
        <f>_xlfn.NUMBERVALUE(SUBSTITUTE(_xlfn.WEBSERVICE(_xlfn.CONCAT("http://172.31.103.65:5000/symbol/",$C89,"/ROE/raw")),".",",",1))</f>
        <v>0.69667172616568995</v>
      </c>
      <c r="H89" s="4">
        <f>_xlfn.NUMBERVALUE(SUBSTITUTE(_xlfn.WEBSERVICE(_xlfn.CONCAT("http://172.31.103.65:5000/symbol/",$C89,"/PERatio/raw")),".",",",1))</f>
        <v>26.764330000000001</v>
      </c>
      <c r="I89" s="5">
        <f>_xlfn.NUMBERVALUE(SUBSTITUTE(_xlfn.WEBSERVICE(_xlfn.CONCAT("http://172.31.103.65:5000/symbol/",$C89,"/discountToIntrinsicValueRatio/raw")),".",",",1))</f>
        <v>1.3409468943973299</v>
      </c>
      <c r="J89" t="str">
        <f>_xlfn.WEBSERVICE(_xlfn.CONCAT("http://172.31.103.65:5000/symbol/",$C89,"/recommendationKey/raw"))</f>
        <v>buy</v>
      </c>
      <c r="K89" s="4">
        <f>_xlfn.NUMBERVALUE(_xlfn.WEBSERVICE(_xlfn.CONCAT("http://172.31.103.65:5000/symbol/",$C89,"/overallRisk/raw")))</f>
        <v>10</v>
      </c>
      <c r="L89" s="5">
        <f>_xlfn.NUMBERVALUE(SUBSTITUTE(_xlfn.WEBSERVICE(_xlfn.CONCAT("http://172.31.103.65:5000/symbol/",$C89,"/targetRatio/raw")),".",",",1))</f>
        <v>9.2039504997620106E-2</v>
      </c>
      <c r="M89" t="str">
        <f>_xlfn.WEBSERVICE(_xlfn.CONCAT("http://172.31.103.65:5000/symbol/",$C89,"/exDividendDate/raw"))</f>
        <v>09/06/2025</v>
      </c>
      <c r="N89" s="7">
        <f>_xlfn.NUMBERVALUE(SUBSTITUTE(SUBSTITUTE(_xlfn.WEBSERVICE(_xlfn.CONCAT("http://172.31.103.65:5000/symbol/",$C89,"/dividendRate/raw")),".",",",1),"-","0", 1))</f>
        <v>8.4</v>
      </c>
      <c r="O89" s="7">
        <f>_xlfn.NUMBERVALUE(SUBSTITUTE(_xlfn.WEBSERVICE(_xlfn.CONCAT("http://172.31.103.65:5000/symbol/",$C89,"/currentPrice/raw")),".",",",1))</f>
        <v>168.08</v>
      </c>
      <c r="P89" s="2">
        <f>N89/O89</f>
        <v>4.9976201808662538E-2</v>
      </c>
    </row>
    <row r="90" spans="1:16" x14ac:dyDescent="0.25">
      <c r="A90">
        <v>87</v>
      </c>
      <c r="B90" t="s">
        <v>65</v>
      </c>
      <c r="C90" t="s">
        <v>199</v>
      </c>
      <c r="D90" t="s">
        <v>200</v>
      </c>
      <c r="E90" s="2">
        <f>_xlfn.NUMBERVALUE(SUBSTITUTE(_xlfn.WEBSERVICE(_xlfn.CONCAT("http://172.31.103.65:5000/symbol/",$C90,"/annualGrowthRatio/raw")),".",",",1))</f>
        <v>0.51193983018321598</v>
      </c>
      <c r="F90" s="2">
        <f>_xlfn.NUMBERVALUE(SUBSTITUTE(_xlfn.WEBSERVICE(_xlfn.CONCAT("http://172.31.103.65:5000/symbol/",$C90,"/debtToEquityPercentage/raw")),".",",",1))/100</f>
        <v>1.2319100000000001</v>
      </c>
      <c r="G90" s="2">
        <f>_xlfn.NUMBERVALUE(SUBSTITUTE(_xlfn.WEBSERVICE(_xlfn.CONCAT("http://172.31.103.65:5000/symbol/",$C90,"/ROE/raw")),".",",",1))</f>
        <v>0.121335228911968</v>
      </c>
      <c r="H90" s="4">
        <f>_xlfn.NUMBERVALUE(SUBSTITUTE(_xlfn.WEBSERVICE(_xlfn.CONCAT("http://172.31.103.65:5000/symbol/",$C90,"/PERatio/raw")),".",",",1))</f>
        <v>15.662857000000001</v>
      </c>
      <c r="I90" s="5">
        <f>_xlfn.NUMBERVALUE(SUBSTITUTE(_xlfn.WEBSERVICE(_xlfn.CONCAT("http://172.31.103.65:5000/symbol/",$C90,"/discountToIntrinsicValueRatio/raw")),".",",",1))</f>
        <v>0.74365209258826204</v>
      </c>
      <c r="J90" t="str">
        <f>_xlfn.WEBSERVICE(_xlfn.CONCAT("http://172.31.103.65:5000/symbol/",$C90,"/recommendationKey/raw"))</f>
        <v>buy</v>
      </c>
      <c r="K90" s="4">
        <f>_xlfn.NUMBERVALUE(_xlfn.WEBSERVICE(_xlfn.CONCAT("http://172.31.103.65:5000/symbol/",$C90,"/overallRisk/raw")))</f>
        <v>3</v>
      </c>
      <c r="L90" s="5">
        <f>_xlfn.NUMBERVALUE(SUBSTITUTE(_xlfn.WEBSERVICE(_xlfn.CONCAT("http://172.31.103.65:5000/symbol/",$C90,"/targetRatio/raw")),".",",",1))</f>
        <v>0.11582634075155</v>
      </c>
      <c r="M90" t="str">
        <f>_xlfn.WEBSERVICE(_xlfn.CONCAT("http://172.31.103.65:5000/symbol/",$C90,"/exDividendDate/raw"))</f>
        <v>10/07/2025</v>
      </c>
      <c r="N90" s="7">
        <f>_xlfn.NUMBERVALUE(SUBSTITUTE(SUBSTITUTE(_xlfn.WEBSERVICE(_xlfn.CONCAT("http://172.31.103.65:5000/symbol/",$C90,"/dividendRate/raw")),".",",",1),"-","0", 1))</f>
        <v>1.1100000000000001</v>
      </c>
      <c r="O90" s="7">
        <f>_xlfn.NUMBERVALUE(SUBSTITUTE(_xlfn.WEBSERVICE(_xlfn.CONCAT("http://172.31.103.65:5000/symbol/",$C90,"/currentPrice/raw")),".",",",1))</f>
        <v>27.41</v>
      </c>
      <c r="P90" s="2">
        <f>N90/O90</f>
        <v>4.0496169281284203E-2</v>
      </c>
    </row>
    <row r="91" spans="1:16" x14ac:dyDescent="0.25">
      <c r="A91">
        <v>88</v>
      </c>
      <c r="B91" t="s">
        <v>40</v>
      </c>
      <c r="C91" t="s">
        <v>201</v>
      </c>
      <c r="D91" t="s">
        <v>202</v>
      </c>
      <c r="E91" s="2">
        <f>_xlfn.NUMBERVALUE(SUBSTITUTE(_xlfn.WEBSERVICE(_xlfn.CONCAT("http://172.31.103.65:5000/symbol/",$C91,"/annualGrowthRatio/raw")),".",",",1))</f>
        <v>-0.27086719994053698</v>
      </c>
      <c r="F91" s="2">
        <f>_xlfn.NUMBERVALUE(SUBSTITUTE(_xlfn.WEBSERVICE(_xlfn.CONCAT("http://172.31.103.65:5000/symbol/",$C91,"/debtToEquityPercentage/raw")),".",",",1))/100</f>
        <v>1.30213</v>
      </c>
      <c r="G91" s="2">
        <f>_xlfn.NUMBERVALUE(SUBSTITUTE(_xlfn.WEBSERVICE(_xlfn.CONCAT("http://172.31.103.65:5000/symbol/",$C91,"/ROE/raw")),".",",",1))</f>
        <v>0.28535387535797002</v>
      </c>
      <c r="H91" s="4">
        <f>_xlfn.NUMBERVALUE(SUBSTITUTE(_xlfn.WEBSERVICE(_xlfn.CONCAT("http://172.31.103.65:5000/symbol/",$C91,"/PERatio/raw")),".",",",1))</f>
        <v>11.448351000000001</v>
      </c>
      <c r="I91" s="5">
        <f>_xlfn.NUMBERVALUE(SUBSTITUTE(_xlfn.WEBSERVICE(_xlfn.CONCAT("http://172.31.103.65:5000/symbol/",$C91,"/discountToIntrinsicValueRatio/raw")),".",",",1))</f>
        <v>0.64335353120399796</v>
      </c>
      <c r="J91" t="str">
        <f>_xlfn.WEBSERVICE(_xlfn.CONCAT("http://172.31.103.65:5000/symbol/",$C91,"/recommendationKey/raw"))</f>
        <v>hold</v>
      </c>
      <c r="K91" s="4">
        <f>_xlfn.NUMBERVALUE(_xlfn.WEBSERVICE(_xlfn.CONCAT("http://172.31.103.65:5000/symbol/",$C91,"/overallRisk/raw")))</f>
        <v>1</v>
      </c>
      <c r="L91" s="5">
        <f>_xlfn.NUMBERVALUE(SUBSTITUTE(_xlfn.WEBSERVICE(_xlfn.CONCAT("http://172.31.103.65:5000/symbol/",$C91,"/targetRatio/raw")),".",",",1))</f>
        <v>-1.4926089460549101E-2</v>
      </c>
      <c r="M91" t="str">
        <f>_xlfn.WEBSERVICE(_xlfn.CONCAT("http://172.31.103.65:5000/symbol/",$C91,"/exDividendDate/raw"))</f>
        <v>13/08/2025</v>
      </c>
      <c r="N91" s="7">
        <f>_xlfn.NUMBERVALUE(SUBSTITUTE(SUBSTITUTE(_xlfn.WEBSERVICE(_xlfn.CONCAT("http://172.31.103.65:5000/symbol/",$C91,"/dividendRate/raw")),".",",",1),"-","0", 1))</f>
        <v>4.5</v>
      </c>
      <c r="O91" s="7">
        <f>_xlfn.NUMBERVALUE(SUBSTITUTE(_xlfn.WEBSERVICE(_xlfn.CONCAT("http://172.31.103.65:5000/symbol/",$C91,"/currentPrice/raw")),".",",",1))</f>
        <v>104.18</v>
      </c>
      <c r="P91" s="2">
        <f>N91/O91</f>
        <v>4.319447110769821E-2</v>
      </c>
    </row>
    <row r="92" spans="1:16" x14ac:dyDescent="0.25">
      <c r="A92">
        <v>89</v>
      </c>
      <c r="B92" t="s">
        <v>22</v>
      </c>
      <c r="C92" t="s">
        <v>203</v>
      </c>
      <c r="D92" t="s">
        <v>204</v>
      </c>
      <c r="E92" s="2">
        <f>_xlfn.NUMBERVALUE(SUBSTITUTE(_xlfn.WEBSERVICE(_xlfn.CONCAT("http://172.31.103.65:5000/symbol/",$C92,"/annualGrowthRatio/raw")),".",",",1))</f>
        <v>-0.21351710762767101</v>
      </c>
      <c r="F92" s="2">
        <f>_xlfn.NUMBERVALUE(SUBSTITUTE(_xlfn.WEBSERVICE(_xlfn.CONCAT("http://172.31.103.65:5000/symbol/",$C92,"/debtToEquityPercentage/raw")),".",",",1))/100</f>
        <v>0.69620000000000004</v>
      </c>
      <c r="G92" s="2">
        <f>_xlfn.NUMBERVALUE(SUBSTITUTE(_xlfn.WEBSERVICE(_xlfn.CONCAT("http://172.31.103.65:5000/symbol/",$C92,"/ROE/raw")),".",",",1))</f>
        <v>0.13278209135827301</v>
      </c>
      <c r="H92" s="4">
        <f>_xlfn.NUMBERVALUE(SUBSTITUTE(_xlfn.WEBSERVICE(_xlfn.CONCAT("http://172.31.103.65:5000/symbol/",$C92,"/PERatio/raw")),".",",",1))</f>
        <v>27.854420000000001</v>
      </c>
      <c r="I92" s="5">
        <f>_xlfn.NUMBERVALUE(SUBSTITUTE(_xlfn.WEBSERVICE(_xlfn.CONCAT("http://172.31.103.65:5000/symbol/",$C92,"/discountToIntrinsicValueRatio/raw")),".",",",1))</f>
        <v>-0.39971956837915701</v>
      </c>
      <c r="J92" t="str">
        <f>_xlfn.WEBSERVICE(_xlfn.CONCAT("http://172.31.103.65:5000/symbol/",$C92,"/recommendationKey/raw"))</f>
        <v>buy</v>
      </c>
      <c r="K92" s="4">
        <f>_xlfn.NUMBERVALUE(_xlfn.WEBSERVICE(_xlfn.CONCAT("http://172.31.103.65:5000/symbol/",$C92,"/overallRisk/raw")))</f>
        <v>8</v>
      </c>
      <c r="L92" s="5">
        <f>_xlfn.NUMBERVALUE(SUBSTITUTE(_xlfn.WEBSERVICE(_xlfn.CONCAT("http://172.31.103.65:5000/symbol/",$C92,"/targetRatio/raw")),".",",",1))</f>
        <v>0.14405043968806999</v>
      </c>
      <c r="M92" t="str">
        <f>_xlfn.WEBSERVICE(_xlfn.CONCAT("http://172.31.103.65:5000/symbol/",$C92,"/exDividendDate/raw"))</f>
        <v>15/09/2025</v>
      </c>
      <c r="N92" s="7">
        <f>_xlfn.NUMBERVALUE(SUBSTITUTE(SUBSTITUTE(_xlfn.WEBSERVICE(_xlfn.CONCAT("http://172.31.103.65:5000/symbol/",$C92,"/dividendRate/raw")),".",",",1),"-","0", 1))</f>
        <v>1.72</v>
      </c>
      <c r="O92" s="7">
        <f>_xlfn.NUMBERVALUE(SUBSTITUTE(_xlfn.WEBSERVICE(_xlfn.CONCAT("http://172.31.103.65:5000/symbol/",$C92,"/currentPrice/raw")),".",",",1))</f>
        <v>482.16</v>
      </c>
      <c r="P92" s="2">
        <f>N92/O92</f>
        <v>3.567280570764891E-3</v>
      </c>
    </row>
    <row r="93" spans="1:16" x14ac:dyDescent="0.25">
      <c r="A93">
        <v>90</v>
      </c>
      <c r="B93" t="s">
        <v>65</v>
      </c>
      <c r="C93" t="s">
        <v>205</v>
      </c>
      <c r="D93" t="s">
        <v>206</v>
      </c>
      <c r="E93" s="2">
        <f>_xlfn.NUMBERVALUE(SUBSTITUTE(_xlfn.WEBSERVICE(_xlfn.CONCAT("http://172.31.103.65:5000/symbol/",$C93,"/annualGrowthRatio/raw")),".",",",1))</f>
        <v>0.38339736607715902</v>
      </c>
      <c r="F93" s="2">
        <f>_xlfn.NUMBERVALUE(SUBSTITUTE(_xlfn.WEBSERVICE(_xlfn.CONCAT("http://172.31.103.65:5000/symbol/",$C93,"/debtToEquityPercentage/raw")),".",",",1))/100</f>
        <v>1.9421799999999998</v>
      </c>
      <c r="G93" s="2">
        <f>_xlfn.NUMBERVALUE(SUBSTITUTE(_xlfn.WEBSERVICE(_xlfn.CONCAT("http://172.31.103.65:5000/symbol/",$C93,"/ROE/raw")),".",",",1))</f>
        <v>0.19784260157755701</v>
      </c>
      <c r="H93" s="4">
        <f>_xlfn.NUMBERVALUE(SUBSTITUTE(_xlfn.WEBSERVICE(_xlfn.CONCAT("http://172.31.103.65:5000/symbol/",$C93,"/PERatio/raw")),".",",",1))</f>
        <v>22.570753</v>
      </c>
      <c r="I93" s="5">
        <f>_xlfn.NUMBERVALUE(SUBSTITUTE(_xlfn.WEBSERVICE(_xlfn.CONCAT("http://172.31.103.65:5000/symbol/",$C93,"/discountToIntrinsicValueRatio/raw")),".",",",1))</f>
        <v>0.38499305948280199</v>
      </c>
      <c r="J93" t="str">
        <f>_xlfn.WEBSERVICE(_xlfn.CONCAT("http://172.31.103.65:5000/symbol/",$C93,"/recommendationKey/raw"))</f>
        <v>buy</v>
      </c>
      <c r="K93" s="4">
        <f>_xlfn.NUMBERVALUE(_xlfn.WEBSERVICE(_xlfn.CONCAT("http://172.31.103.65:5000/symbol/",$C93,"/overallRisk/raw")))</f>
        <v>10</v>
      </c>
      <c r="L93" s="5">
        <f>_xlfn.NUMBERVALUE(SUBSTITUTE(_xlfn.WEBSERVICE(_xlfn.CONCAT("http://172.31.103.65:5000/symbol/",$C93,"/targetRatio/raw")),".",",",1))</f>
        <v>0.13400054336468101</v>
      </c>
      <c r="M93" t="str">
        <f>_xlfn.WEBSERVICE(_xlfn.CONCAT("http://172.31.103.65:5000/symbol/",$C93,"/exDividendDate/raw"))</f>
        <v>29/08/2025</v>
      </c>
      <c r="N93" s="7">
        <f>_xlfn.NUMBERVALUE(SUBSTITUTE(SUBSTITUTE(_xlfn.WEBSERVICE(_xlfn.CONCAT("http://172.31.103.65:5000/symbol/",$C93,"/dividendRate/raw")),".",",",1),"-","0", 1))</f>
        <v>3.52</v>
      </c>
      <c r="O93" s="7">
        <f>_xlfn.NUMBERVALUE(SUBSTITUTE(_xlfn.WEBSERVICE(_xlfn.CONCAT("http://172.31.103.65:5000/symbol/",$C93,"/currentPrice/raw")),".",",",1))</f>
        <v>239.25</v>
      </c>
      <c r="P93" s="2">
        <f>N93/O93</f>
        <v>1.4712643678160919E-2</v>
      </c>
    </row>
    <row r="94" spans="1:16" x14ac:dyDescent="0.25">
      <c r="A94">
        <v>91</v>
      </c>
      <c r="B94" t="s">
        <v>40</v>
      </c>
      <c r="C94" t="s">
        <v>207</v>
      </c>
      <c r="D94" t="s">
        <v>208</v>
      </c>
      <c r="E94" s="2">
        <f>_xlfn.NUMBERVALUE(SUBSTITUTE(_xlfn.WEBSERVICE(_xlfn.CONCAT("http://172.31.103.65:5000/symbol/",$C94,"/annualGrowthRatio/raw")),".",",",1))</f>
        <v>0.442817388576977</v>
      </c>
      <c r="F94" s="2">
        <f>_xlfn.NUMBERVALUE(SUBSTITUTE(_xlfn.WEBSERVICE(_xlfn.CONCAT("http://172.31.103.65:5000/symbol/",$C94,"/debtToEquityPercentage/raw")),".",",",1))/100</f>
        <v>0.16822999999999999</v>
      </c>
      <c r="G94" s="2">
        <f>_xlfn.NUMBERVALUE(SUBSTITUTE(_xlfn.WEBSERVICE(_xlfn.CONCAT("http://172.31.103.65:5000/symbol/",$C94,"/ROE/raw")),".",",",1))</f>
        <v>8.0630341146297593E-2</v>
      </c>
      <c r="H94" s="4">
        <f>_xlfn.NUMBERVALUE(SUBSTITUTE(_xlfn.WEBSERVICE(_xlfn.CONCAT("http://172.31.103.65:5000/symbol/",$C94,"/PERatio/raw")),".",",",1))</f>
        <v>190.05916999999999</v>
      </c>
      <c r="I94" s="5">
        <f>_xlfn.NUMBERVALUE(SUBSTITUTE(_xlfn.WEBSERVICE(_xlfn.CONCAT("http://172.31.103.65:5000/symbol/",$C94,"/discountToIntrinsicValueRatio/raw")),".",",",1))</f>
        <v>8.1720442112314409</v>
      </c>
      <c r="J94" t="str">
        <f>_xlfn.WEBSERVICE(_xlfn.CONCAT("http://172.31.103.65:5000/symbol/",$C94,"/recommendationKey/raw"))</f>
        <v>hold</v>
      </c>
      <c r="K94" s="4">
        <f>_xlfn.NUMBERVALUE(_xlfn.WEBSERVICE(_xlfn.CONCAT("http://172.31.103.65:5000/symbol/",$C94,"/overallRisk/raw")))</f>
        <v>10</v>
      </c>
      <c r="L94" s="5">
        <f>_xlfn.NUMBERVALUE(SUBSTITUTE(_xlfn.WEBSERVICE(_xlfn.CONCAT("http://172.31.103.65:5000/symbol/",$C94,"/targetRatio/raw")),".",",",1))</f>
        <v>-4.6323972602739599E-2</v>
      </c>
      <c r="M94" t="str">
        <f>_xlfn.WEBSERVICE(_xlfn.CONCAT("http://172.31.103.65:5000/symbol/",$C94,"/exDividendDate/raw"))</f>
        <v>-</v>
      </c>
      <c r="N94" s="7">
        <f>_xlfn.NUMBERVALUE(SUBSTITUTE(SUBSTITUTE(_xlfn.WEBSERVICE(_xlfn.CONCAT("http://172.31.103.65:5000/symbol/",$C94,"/dividendRate/raw")),".",",",1),"-","0", 1))</f>
        <v>0</v>
      </c>
      <c r="O94" s="7">
        <f>_xlfn.NUMBERVALUE(SUBSTITUTE(_xlfn.WEBSERVICE(_xlfn.CONCAT("http://172.31.103.65:5000/symbol/",$C94,"/currentPrice/raw")),".",",",1))</f>
        <v>321.2</v>
      </c>
      <c r="P94" s="2">
        <f>N94/O94</f>
        <v>0</v>
      </c>
    </row>
    <row r="95" spans="1:16" x14ac:dyDescent="0.25">
      <c r="A95">
        <v>92</v>
      </c>
      <c r="B95" t="s">
        <v>19</v>
      </c>
      <c r="C95" t="s">
        <v>209</v>
      </c>
      <c r="D95" t="s">
        <v>210</v>
      </c>
      <c r="E95" s="2">
        <f>_xlfn.NUMBERVALUE(SUBSTITUTE(_xlfn.WEBSERVICE(_xlfn.CONCAT("http://172.31.103.65:5000/symbol/",$C95,"/annualGrowthRatio/raw")),".",",",1))</f>
        <v>-1.98798750550533E-2</v>
      </c>
      <c r="F95" s="2">
        <f>_xlfn.NUMBERVALUE(SUBSTITUTE(_xlfn.WEBSERVICE(_xlfn.CONCAT("http://172.31.103.65:5000/symbol/",$C95,"/debtToEquityPercentage/raw")),".",",",1))/100</f>
        <v>0.85611999999999999</v>
      </c>
      <c r="G95" s="2">
        <f>_xlfn.NUMBERVALUE(SUBSTITUTE(_xlfn.WEBSERVICE(_xlfn.CONCAT("http://172.31.103.65:5000/symbol/",$C95,"/ROE/raw")),".",",",1))</f>
        <v>0.29710702999467498</v>
      </c>
      <c r="H95" s="4">
        <f>_xlfn.NUMBERVALUE(SUBSTITUTE(_xlfn.WEBSERVICE(_xlfn.CONCAT("http://172.31.103.65:5000/symbol/",$C95,"/PERatio/raw")),".",",",1))</f>
        <v>36.246212</v>
      </c>
      <c r="I95" s="5">
        <f>_xlfn.NUMBERVALUE(SUBSTITUTE(_xlfn.WEBSERVICE(_xlfn.CONCAT("http://172.31.103.65:5000/symbol/",$C95,"/discountToIntrinsicValueRatio/raw")),".",",",1))</f>
        <v>9.6104435879996994E-2</v>
      </c>
      <c r="J95" t="str">
        <f>_xlfn.WEBSERVICE(_xlfn.CONCAT("http://172.31.103.65:5000/symbol/",$C95,"/recommendationKey/raw"))</f>
        <v>buy</v>
      </c>
      <c r="K95" s="4">
        <f>_xlfn.NUMBERVALUE(_xlfn.WEBSERVICE(_xlfn.CONCAT("http://172.31.103.65:5000/symbol/",$C95,"/overallRisk/raw")))</f>
        <v>9</v>
      </c>
      <c r="L95" s="5">
        <f>_xlfn.NUMBERVALUE(SUBSTITUTE(_xlfn.WEBSERVICE(_xlfn.CONCAT("http://172.31.103.65:5000/symbol/",$C95,"/targetRatio/raw")),".",",",1))</f>
        <v>7.4959504650433703E-2</v>
      </c>
      <c r="M95" t="str">
        <f>_xlfn.WEBSERVICE(_xlfn.CONCAT("http://172.31.103.65:5000/symbol/",$C95,"/exDividendDate/raw"))</f>
        <v>31/07/2025</v>
      </c>
      <c r="N95" s="7">
        <f>_xlfn.NUMBERVALUE(SUBSTITUTE(SUBSTITUTE(_xlfn.WEBSERVICE(_xlfn.CONCAT("http://172.31.103.65:5000/symbol/",$C95,"/dividendRate/raw")),".",",",1),"-","0", 1))</f>
        <v>5.44</v>
      </c>
      <c r="O95" s="7">
        <f>_xlfn.NUMBERVALUE(SUBSTITUTE(_xlfn.WEBSERVICE(_xlfn.CONCAT("http://172.31.103.65:5000/symbol/",$C95,"/currentPrice/raw")),".",",",1))</f>
        <v>191.38</v>
      </c>
      <c r="P95" s="2">
        <f>N95/O95</f>
        <v>2.8425122792350301E-2</v>
      </c>
    </row>
    <row r="96" spans="1:16" x14ac:dyDescent="0.25">
      <c r="A96">
        <v>93</v>
      </c>
      <c r="B96" t="s">
        <v>22</v>
      </c>
      <c r="C96" t="s">
        <v>211</v>
      </c>
      <c r="D96" t="s">
        <v>212</v>
      </c>
      <c r="E96" s="2">
        <f>_xlfn.NUMBERVALUE(SUBSTITUTE(_xlfn.WEBSERVICE(_xlfn.CONCAT("http://172.31.103.65:5000/symbol/",$C96,"/annualGrowthRatio/raw")),".",",",1))</f>
        <v>-0.53845960085882005</v>
      </c>
      <c r="F96" s="2">
        <f>_xlfn.NUMBERVALUE(SUBSTITUTE(_xlfn.WEBSERVICE(_xlfn.CONCAT("http://172.31.103.65:5000/symbol/",$C96,"/debtToEquityPercentage/raw")),".",",",1))/100</f>
        <v>0.77276999999999996</v>
      </c>
      <c r="G96" s="2">
        <f>_xlfn.NUMBERVALUE(SUBSTITUTE(_xlfn.WEBSERVICE(_xlfn.CONCAT("http://172.31.103.65:5000/symbol/",$C96,"/ROE/raw")),".",",",1))</f>
        <v>0.23857626281594599</v>
      </c>
      <c r="H96" s="4">
        <f>_xlfn.NUMBERVALUE(SUBSTITUTE(_xlfn.WEBSERVICE(_xlfn.CONCAT("http://172.31.103.65:5000/symbol/",$C96,"/PERatio/raw")),".",",",1))</f>
        <v>10.923431000000001</v>
      </c>
      <c r="I96" s="5">
        <f>_xlfn.NUMBERVALUE(SUBSTITUTE(_xlfn.WEBSERVICE(_xlfn.CONCAT("http://172.31.103.65:5000/symbol/",$C96,"/discountToIntrinsicValueRatio/raw")),".",",",1))</f>
        <v>-0.28510952498154002</v>
      </c>
      <c r="J96" t="str">
        <f>_xlfn.WEBSERVICE(_xlfn.CONCAT("http://172.31.103.65:5000/symbol/",$C96,"/recommendationKey/raw"))</f>
        <v>buy</v>
      </c>
      <c r="K96" s="4">
        <f>_xlfn.NUMBERVALUE(_xlfn.WEBSERVICE(_xlfn.CONCAT("http://172.31.103.65:5000/symbol/",$C96,"/overallRisk/raw")))</f>
        <v>8</v>
      </c>
      <c r="L96" s="5">
        <f>_xlfn.NUMBERVALUE(SUBSTITUTE(_xlfn.WEBSERVICE(_xlfn.CONCAT("http://172.31.103.65:5000/symbol/",$C96,"/targetRatio/raw")),".",",",1))</f>
        <v>0.39250645420768299</v>
      </c>
      <c r="M96" t="str">
        <f>_xlfn.WEBSERVICE(_xlfn.CONCAT("http://172.31.103.65:5000/symbol/",$C96,"/exDividendDate/raw"))</f>
        <v>16/06/2025</v>
      </c>
      <c r="N96" s="7">
        <f>_xlfn.NUMBERVALUE(SUBSTITUTE(SUBSTITUTE(_xlfn.WEBSERVICE(_xlfn.CONCAT("http://172.31.103.65:5000/symbol/",$C96,"/dividendRate/raw")),".",",",1),"-","0", 1))</f>
        <v>8.84</v>
      </c>
      <c r="O96" s="7">
        <f>_xlfn.NUMBERVALUE(SUBSTITUTE(_xlfn.WEBSERVICE(_xlfn.CONCAT("http://172.31.103.65:5000/symbol/",$C96,"/currentPrice/raw")),".",",",1))</f>
        <v>261.07</v>
      </c>
      <c r="P96" s="2">
        <f>N96/O96</f>
        <v>3.3860650400275791E-2</v>
      </c>
    </row>
    <row r="97" spans="1:16" x14ac:dyDescent="0.25">
      <c r="A97">
        <v>94</v>
      </c>
      <c r="B97" t="s">
        <v>47</v>
      </c>
      <c r="C97" t="s">
        <v>213</v>
      </c>
      <c r="D97" t="s">
        <v>214</v>
      </c>
      <c r="E97" s="2">
        <f>_xlfn.NUMBERVALUE(SUBSTITUTE(_xlfn.WEBSERVICE(_xlfn.CONCAT("http://172.31.103.65:5000/symbol/",$C97,"/annualGrowthRatio/raw")),".",",",1))</f>
        <v>-6.7428923762695395E-2</v>
      </c>
      <c r="F97" s="2">
        <f>_xlfn.NUMBERVALUE(SUBSTITUTE(_xlfn.WEBSERVICE(_xlfn.CONCAT("http://172.31.103.65:5000/symbol/",$C97,"/debtToEquityPercentage/raw")),".",",",1))/100</f>
        <v>2.0885699999999998</v>
      </c>
      <c r="G97" s="2">
        <f>_xlfn.NUMBERVALUE(SUBSTITUTE(_xlfn.WEBSERVICE(_xlfn.CONCAT("http://172.31.103.65:5000/symbol/",$C97,"/ROE/raw")),".",",",1))</f>
        <v>0.41059799076376502</v>
      </c>
      <c r="H97" s="4">
        <f>_xlfn.NUMBERVALUE(SUBSTITUTE(_xlfn.WEBSERVICE(_xlfn.CONCAT("http://172.31.103.65:5000/symbol/",$C97,"/PERatio/raw")),".",",",1))</f>
        <v>19.441355000000001</v>
      </c>
      <c r="I97" s="5">
        <f>_xlfn.NUMBERVALUE(SUBSTITUTE(_xlfn.WEBSERVICE(_xlfn.CONCAT("http://172.31.103.65:5000/symbol/",$C97,"/discountToIntrinsicValueRatio/raw")),".",",",1))</f>
        <v>0.495029731345978</v>
      </c>
      <c r="J97" t="str">
        <f>_xlfn.WEBSERVICE(_xlfn.CONCAT("http://172.31.103.65:5000/symbol/",$C97,"/recommendationKey/raw"))</f>
        <v>buy</v>
      </c>
      <c r="K97" s="4">
        <f>_xlfn.NUMBERVALUE(_xlfn.WEBSERVICE(_xlfn.CONCAT("http://172.31.103.65:5000/symbol/",$C97,"/overallRisk/raw")))</f>
        <v>1</v>
      </c>
      <c r="L97" s="5">
        <f>_xlfn.NUMBERVALUE(SUBSTITUTE(_xlfn.WEBSERVICE(_xlfn.CONCAT("http://172.31.103.65:5000/symbol/",$C97,"/targetRatio/raw")),".",",",1))</f>
        <v>0.14701103811949701</v>
      </c>
      <c r="M97" t="str">
        <f>_xlfn.WEBSERVICE(_xlfn.CONCAT("http://172.31.103.65:5000/symbol/",$C97,"/exDividendDate/raw"))</f>
        <v>29/08/2025</v>
      </c>
      <c r="N97" s="7">
        <f>_xlfn.NUMBERVALUE(SUBSTITUTE(SUBSTITUTE(_xlfn.WEBSERVICE(_xlfn.CONCAT("http://172.31.103.65:5000/symbol/",$C97,"/dividendRate/raw")),".",",",1),"-","0", 1))</f>
        <v>5.52</v>
      </c>
      <c r="O97" s="7">
        <f>_xlfn.NUMBERVALUE(SUBSTITUTE(_xlfn.WEBSERVICE(_xlfn.CONCAT("http://172.31.103.65:5000/symbol/",$C97,"/currentPrice/raw")),".",",",1))</f>
        <v>223.77</v>
      </c>
      <c r="P97" s="2">
        <f>N97/O97</f>
        <v>2.4668186083925455E-2</v>
      </c>
    </row>
    <row r="98" spans="1:16" x14ac:dyDescent="0.25">
      <c r="A98">
        <v>95</v>
      </c>
      <c r="B98" t="s">
        <v>47</v>
      </c>
      <c r="C98" t="s">
        <v>215</v>
      </c>
      <c r="D98" t="s">
        <v>215</v>
      </c>
      <c r="E98" s="2">
        <f>_xlfn.NUMBERVALUE(SUBSTITUTE(_xlfn.WEBSERVICE(_xlfn.CONCAT("http://172.31.103.65:5000/symbol/",$C98,"/annualGrowthRatio/raw")),".",",",1))</f>
        <v>-0.255863230004861</v>
      </c>
      <c r="F98" s="2">
        <f>_xlfn.NUMBERVALUE(SUBSTITUTE(_xlfn.WEBSERVICE(_xlfn.CONCAT("http://172.31.103.65:5000/symbol/",$C98,"/debtToEquityPercentage/raw")),".",",",1))/100</f>
        <v>1.63185</v>
      </c>
      <c r="G98" s="2">
        <f>_xlfn.NUMBERVALUE(SUBSTITUTE(_xlfn.WEBSERVICE(_xlfn.CONCAT("http://172.31.103.65:5000/symbol/",$C98,"/ROE/raw")),".",",",1))</f>
        <v>0.35028113410695</v>
      </c>
      <c r="H98" s="4">
        <f>_xlfn.NUMBERVALUE(SUBSTITUTE(_xlfn.WEBSERVICE(_xlfn.CONCAT("http://172.31.103.65:5000/symbol/",$C98,"/PERatio/raw")),".",",",1))</f>
        <v>13.261312999999999</v>
      </c>
      <c r="I98" s="5">
        <f>_xlfn.NUMBERVALUE(SUBSTITUTE(_xlfn.WEBSERVICE(_xlfn.CONCAT("http://172.31.103.65:5000/symbol/",$C98,"/discountToIntrinsicValueRatio/raw")),".",",",1))</f>
        <v>0.430844898342783</v>
      </c>
      <c r="J98" t="str">
        <f>_xlfn.WEBSERVICE(_xlfn.CONCAT("http://172.31.103.65:5000/symbol/",$C98,"/recommendationKey/raw"))</f>
        <v>buy</v>
      </c>
      <c r="K98" s="4">
        <f>_xlfn.NUMBERVALUE(_xlfn.WEBSERVICE(_xlfn.CONCAT("http://172.31.103.65:5000/symbol/",$C98,"/overallRisk/raw")))</f>
        <v>10</v>
      </c>
      <c r="L98" s="5">
        <f>_xlfn.NUMBERVALUE(SUBSTITUTE(_xlfn.WEBSERVICE(_xlfn.CONCAT("http://172.31.103.65:5000/symbol/",$C98,"/targetRatio/raw")),".",",",1))</f>
        <v>0.234834984588287</v>
      </c>
      <c r="M98" t="str">
        <f>_xlfn.WEBSERVICE(_xlfn.CONCAT("http://172.31.103.65:5000/symbol/",$C98,"/exDividendDate/raw"))</f>
        <v>19/05/2025</v>
      </c>
      <c r="N98" s="7">
        <f>_xlfn.NUMBERVALUE(SUBSTITUTE(SUBSTITUTE(_xlfn.WEBSERVICE(_xlfn.CONCAT("http://172.31.103.65:5000/symbol/",$C98,"/dividendRate/raw")),".",",",1),"-","0", 1))</f>
        <v>6.56</v>
      </c>
      <c r="O98" s="7">
        <f>_xlfn.NUMBERVALUE(SUBSTITUTE(_xlfn.WEBSERVICE(_xlfn.CONCAT("http://172.31.103.65:5000/symbol/",$C98,"/currentPrice/raw")),".",",",1))</f>
        <v>90.84</v>
      </c>
      <c r="P98" s="2">
        <f>N98/O98</f>
        <v>7.2214883311316591E-2</v>
      </c>
    </row>
    <row r="99" spans="1:16" x14ac:dyDescent="0.25">
      <c r="A99">
        <v>96</v>
      </c>
      <c r="B99" t="s">
        <v>31</v>
      </c>
      <c r="C99" t="s">
        <v>216</v>
      </c>
      <c r="D99" t="s">
        <v>217</v>
      </c>
      <c r="E99" s="2">
        <f>_xlfn.NUMBERVALUE(SUBSTITUTE(_xlfn.WEBSERVICE(_xlfn.CONCAT("http://172.31.103.65:5000/symbol/",$C99,"/annualGrowthRatio/raw")),".",",",1))</f>
        <v>5.96127089500849E-2</v>
      </c>
      <c r="F99" s="2" t="e">
        <f>_xlfn.NUMBERVALUE(SUBSTITUTE(_xlfn.WEBSERVICE(_xlfn.CONCAT("http://172.31.103.65:5000/symbol/",$C99,"/debtToEquityPercentage/raw")),".",",",1))/100</f>
        <v>#VALUE!</v>
      </c>
      <c r="G99" s="2">
        <f>_xlfn.NUMBERVALUE(SUBSTITUTE(_xlfn.WEBSERVICE(_xlfn.CONCAT("http://172.31.103.65:5000/symbol/",$C99,"/ROE/raw")),".",",",1))</f>
        <v>0.111270445013486</v>
      </c>
      <c r="H99" s="4">
        <f>_xlfn.NUMBERVALUE(SUBSTITUTE(_xlfn.WEBSERVICE(_xlfn.CONCAT("http://172.31.103.65:5000/symbol/",$C99,"/PERatio/raw")),".",",",1))</f>
        <v>11.026317000000001</v>
      </c>
      <c r="I99" s="5">
        <f>_xlfn.NUMBERVALUE(SUBSTITUTE(_xlfn.WEBSERVICE(_xlfn.CONCAT("http://172.31.103.65:5000/symbol/",$C99,"/discountToIntrinsicValueRatio/raw")),".",",",1))</f>
        <v>0.70438831663609403</v>
      </c>
      <c r="J99" t="str">
        <f>_xlfn.WEBSERVICE(_xlfn.CONCAT("http://172.31.103.65:5000/symbol/",$C99,"/recommendationKey/raw"))</f>
        <v>buy</v>
      </c>
      <c r="K99" s="4">
        <f>_xlfn.NUMBERVALUE(_xlfn.WEBSERVICE(_xlfn.CONCAT("http://172.31.103.65:5000/symbol/",$C99,"/overallRisk/raw")))</f>
        <v>4</v>
      </c>
      <c r="L99" s="5">
        <f>_xlfn.NUMBERVALUE(SUBSTITUTE(_xlfn.WEBSERVICE(_xlfn.CONCAT("http://172.31.103.65:5000/symbol/",$C99,"/targetRatio/raw")),".",",",1))</f>
        <v>0.16067368192666501</v>
      </c>
      <c r="M99" t="str">
        <f>_xlfn.WEBSERVICE(_xlfn.CONCAT("http://172.31.103.65:5000/symbol/",$C99,"/exDividendDate/raw"))</f>
        <v>30/06/2025</v>
      </c>
      <c r="N99" s="7">
        <f>_xlfn.NUMBERVALUE(SUBSTITUTE(SUBSTITUTE(_xlfn.WEBSERVICE(_xlfn.CONCAT("http://172.31.103.65:5000/symbol/",$C99,"/dividendRate/raw")),".",",",1),"-","0", 1))</f>
        <v>2</v>
      </c>
      <c r="O99" s="7">
        <f>_xlfn.NUMBERVALUE(SUBSTITUTE(_xlfn.WEBSERVICE(_xlfn.CONCAT("http://172.31.103.65:5000/symbol/",$C99,"/currentPrice/raw")),".",",",1))</f>
        <v>46.09</v>
      </c>
      <c r="P99" s="2">
        <f>N99/O99</f>
        <v>4.339336081579518E-2</v>
      </c>
    </row>
    <row r="100" spans="1:16" x14ac:dyDescent="0.25">
      <c r="A100">
        <v>97</v>
      </c>
      <c r="B100" t="s">
        <v>31</v>
      </c>
      <c r="C100" t="s">
        <v>218</v>
      </c>
      <c r="D100" t="s">
        <v>219</v>
      </c>
      <c r="E100" s="2">
        <f>_xlfn.NUMBERVALUE(SUBSTITUTE(_xlfn.WEBSERVICE(_xlfn.CONCAT("http://172.31.103.65:5000/symbol/",$C100,"/annualGrowthRatio/raw")),".",",",1))</f>
        <v>0.344901925344206</v>
      </c>
      <c r="F100" s="2">
        <f>_xlfn.NUMBERVALUE(SUBSTITUTE(_xlfn.WEBSERVICE(_xlfn.CONCAT("http://172.31.103.65:5000/symbol/",$C100,"/debtToEquityPercentage/raw")),".",",",1))/100</f>
        <v>0.54593999999999998</v>
      </c>
      <c r="G100" s="2">
        <f>_xlfn.NUMBERVALUE(SUBSTITUTE(_xlfn.WEBSERVICE(_xlfn.CONCAT("http://172.31.103.65:5000/symbol/",$C100,"/ROE/raw")),".",",",1))</f>
        <v>0.50187800189079301</v>
      </c>
      <c r="H100" s="4">
        <f>_xlfn.NUMBERVALUE(SUBSTITUTE(_xlfn.WEBSERVICE(_xlfn.CONCAT("http://172.31.103.65:5000/symbol/",$C100,"/PERatio/raw")),".",",",1))</f>
        <v>35.305529999999997</v>
      </c>
      <c r="I100" s="5">
        <f>_xlfn.NUMBERVALUE(SUBSTITUTE(_xlfn.WEBSERVICE(_xlfn.CONCAT("http://172.31.103.65:5000/symbol/",$C100,"/discountToIntrinsicValueRatio/raw")),".",",",1))</f>
        <v>-2.12438297683105</v>
      </c>
      <c r="J100" t="str">
        <f>_xlfn.WEBSERVICE(_xlfn.CONCAT("http://172.31.103.65:5000/symbol/",$C100,"/recommendationKey/raw"))</f>
        <v>buy</v>
      </c>
      <c r="K100" s="4">
        <f>_xlfn.NUMBERVALUE(_xlfn.WEBSERVICE(_xlfn.CONCAT("http://172.31.103.65:5000/symbol/",$C100,"/overallRisk/raw")))</f>
        <v>2</v>
      </c>
      <c r="L100" s="5">
        <f>_xlfn.NUMBERVALUE(SUBSTITUTE(_xlfn.WEBSERVICE(_xlfn.CONCAT("http://172.31.103.65:5000/symbol/",$C100,"/targetRatio/raw")),".",",",1))</f>
        <v>9.8559395371345601E-2</v>
      </c>
      <c r="M100" t="str">
        <f>_xlfn.WEBSERVICE(_xlfn.CONCAT("http://172.31.103.65:5000/symbol/",$C100,"/exDividendDate/raw"))</f>
        <v>13/05/2025</v>
      </c>
      <c r="N100" s="7">
        <f>_xlfn.NUMBERVALUE(SUBSTITUTE(SUBSTITUTE(_xlfn.WEBSERVICE(_xlfn.CONCAT("http://172.31.103.65:5000/symbol/",$C100,"/dividendRate/raw")),".",",",1),"-","0", 1))</f>
        <v>2.36</v>
      </c>
      <c r="O100" s="7">
        <f>_xlfn.NUMBERVALUE(SUBSTITUTE(_xlfn.WEBSERVICE(_xlfn.CONCAT("http://172.31.103.65:5000/symbol/",$C100,"/currentPrice/raw")),".",",",1))</f>
        <v>351.29</v>
      </c>
      <c r="P100" s="2">
        <f>N100/O100</f>
        <v>6.7180961598679147E-3</v>
      </c>
    </row>
    <row r="101" spans="1:16" x14ac:dyDescent="0.25">
      <c r="A101">
        <v>98</v>
      </c>
      <c r="B101" t="s">
        <v>65</v>
      </c>
      <c r="C101" t="s">
        <v>220</v>
      </c>
      <c r="D101" t="s">
        <v>221</v>
      </c>
      <c r="E101" s="2">
        <f>_xlfn.NUMBERVALUE(SUBSTITUTE(_xlfn.WEBSERVICE(_xlfn.CONCAT("http://172.31.103.65:5000/symbol/",$C101,"/annualGrowthRatio/raw")),".",",",1))</f>
        <v>0.13835329471301</v>
      </c>
      <c r="F101" s="2">
        <f>_xlfn.NUMBERVALUE(SUBSTITUTE(_xlfn.WEBSERVICE(_xlfn.CONCAT("http://172.31.103.65:5000/symbol/",$C101,"/debtToEquityPercentage/raw")),".",",",1))/100</f>
        <v>1.6738599999999999</v>
      </c>
      <c r="G101" s="2">
        <f>_xlfn.NUMBERVALUE(SUBSTITUTE(_xlfn.WEBSERVICE(_xlfn.CONCAT("http://172.31.103.65:5000/symbol/",$C101,"/ROE/raw")),".",",",1))</f>
        <v>0.183328803248788</v>
      </c>
      <c r="H101" s="4">
        <f>_xlfn.NUMBERVALUE(SUBSTITUTE(_xlfn.WEBSERVICE(_xlfn.CONCAT("http://172.31.103.65:5000/symbol/",$C101,"/PERatio/raw")),".",",",1))</f>
        <v>9.9325569999999992</v>
      </c>
      <c r="I101" s="5">
        <f>_xlfn.NUMBERVALUE(SUBSTITUTE(_xlfn.WEBSERVICE(_xlfn.CONCAT("http://172.31.103.65:5000/symbol/",$C101,"/discountToIntrinsicValueRatio/raw")),".",",",1))</f>
        <v>0.60428055220976495</v>
      </c>
      <c r="J101" t="str">
        <f>_xlfn.WEBSERVICE(_xlfn.CONCAT("http://172.31.103.65:5000/symbol/",$C101,"/recommendationKey/raw"))</f>
        <v>buy</v>
      </c>
      <c r="K101" s="4">
        <f>_xlfn.NUMBERVALUE(_xlfn.WEBSERVICE(_xlfn.CONCAT("http://172.31.103.65:5000/symbol/",$C101,"/overallRisk/raw")))</f>
        <v>3</v>
      </c>
      <c r="L101" s="5">
        <f>_xlfn.NUMBERVALUE(SUBSTITUTE(_xlfn.WEBSERVICE(_xlfn.CONCAT("http://172.31.103.65:5000/symbol/",$C101,"/targetRatio/raw")),".",",",1))</f>
        <v>0.1411702177476</v>
      </c>
      <c r="M101" t="str">
        <f>_xlfn.WEBSERVICE(_xlfn.CONCAT("http://172.31.103.65:5000/symbol/",$C101,"/exDividendDate/raw"))</f>
        <v>10/07/2025</v>
      </c>
      <c r="N101" s="7">
        <f>_xlfn.NUMBERVALUE(SUBSTITUTE(SUBSTITUTE(_xlfn.WEBSERVICE(_xlfn.CONCAT("http://172.31.103.65:5000/symbol/",$C101,"/dividendRate/raw")),".",",",1),"-","0", 1))</f>
        <v>2.71</v>
      </c>
      <c r="O101" s="7">
        <f>_xlfn.NUMBERVALUE(SUBSTITUTE(_xlfn.WEBSERVICE(_xlfn.CONCAT("http://172.31.103.65:5000/symbol/",$C101,"/currentPrice/raw")),".",",",1))</f>
        <v>42.71</v>
      </c>
      <c r="P101" s="2">
        <f>N101/O101</f>
        <v>6.3451182392882222E-2</v>
      </c>
    </row>
    <row r="102" spans="1:16" x14ac:dyDescent="0.25">
      <c r="A102">
        <v>99</v>
      </c>
      <c r="B102" t="s">
        <v>31</v>
      </c>
      <c r="C102" t="s">
        <v>222</v>
      </c>
      <c r="D102" t="s">
        <v>223</v>
      </c>
      <c r="E102" s="2">
        <f>_xlfn.NUMBERVALUE(SUBSTITUTE(_xlfn.WEBSERVICE(_xlfn.CONCAT("http://172.31.103.65:5000/symbol/",$C102,"/annualGrowthRatio/raw")),".",",",1))</f>
        <v>0.410374980105149</v>
      </c>
      <c r="F102" s="2" t="e">
        <f>_xlfn.NUMBERVALUE(SUBSTITUTE(_xlfn.WEBSERVICE(_xlfn.CONCAT("http://172.31.103.65:5000/symbol/",$C102,"/debtToEquityPercentage/raw")),".",",",1))/100</f>
        <v>#VALUE!</v>
      </c>
      <c r="G102" s="2">
        <f>_xlfn.NUMBERVALUE(SUBSTITUTE(_xlfn.WEBSERVICE(_xlfn.CONCAT("http://172.31.103.65:5000/symbol/",$C102,"/ROE/raw")),".",",",1))</f>
        <v>0.10877066118803</v>
      </c>
      <c r="H102" s="4">
        <f>_xlfn.NUMBERVALUE(SUBSTITUTE(_xlfn.WEBSERVICE(_xlfn.CONCAT("http://172.31.103.65:5000/symbol/",$C102,"/PERatio/raw")),".",",",1))</f>
        <v>14.201031</v>
      </c>
      <c r="I102" s="5">
        <f>_xlfn.NUMBERVALUE(SUBSTITUTE(_xlfn.WEBSERVICE(_xlfn.CONCAT("http://172.31.103.65:5000/symbol/",$C102,"/discountToIntrinsicValueRatio/raw")),".",",",1))</f>
        <v>0.71077330085875601</v>
      </c>
      <c r="J102" t="str">
        <f>_xlfn.WEBSERVICE(_xlfn.CONCAT("http://172.31.103.65:5000/symbol/",$C102,"/recommendationKey/raw"))</f>
        <v>buy</v>
      </c>
      <c r="K102" s="4">
        <f>_xlfn.NUMBERVALUE(_xlfn.WEBSERVICE(_xlfn.CONCAT("http://172.31.103.65:5000/symbol/",$C102,"/overallRisk/raw")))</f>
        <v>2</v>
      </c>
      <c r="L102" s="5">
        <f>_xlfn.NUMBERVALUE(SUBSTITUTE(_xlfn.WEBSERVICE(_xlfn.CONCAT("http://172.31.103.65:5000/symbol/",$C102,"/targetRatio/raw")),".",",",1))</f>
        <v>5.0001330913490599E-2</v>
      </c>
      <c r="M102" t="str">
        <f>_xlfn.WEBSERVICE(_xlfn.CONCAT("http://172.31.103.65:5000/symbol/",$C102,"/exDividendDate/raw"))</f>
        <v>09/05/2025</v>
      </c>
      <c r="N102" s="7">
        <f>_xlfn.NUMBERVALUE(SUBSTITUTE(SUBSTITUTE(_xlfn.WEBSERVICE(_xlfn.CONCAT("http://172.31.103.65:5000/symbol/",$C102,"/dividendRate/raw")),".",",",1),"-","0", 1))</f>
        <v>1.6</v>
      </c>
      <c r="O102" s="7">
        <f>_xlfn.NUMBERVALUE(SUBSTITUTE(_xlfn.WEBSERVICE(_xlfn.CONCAT("http://172.31.103.65:5000/symbol/",$C102,"/currentPrice/raw")),".",",",1))</f>
        <v>82.65</v>
      </c>
      <c r="P102" s="2">
        <f>N102/O102</f>
        <v>1.9358741681790682E-2</v>
      </c>
    </row>
    <row r="103" spans="1:16" x14ac:dyDescent="0.25">
      <c r="A103">
        <v>100</v>
      </c>
      <c r="B103" t="s">
        <v>68</v>
      </c>
      <c r="C103" t="s">
        <v>224</v>
      </c>
      <c r="D103" t="s">
        <v>225</v>
      </c>
      <c r="E103" s="2">
        <f>_xlfn.NUMBERVALUE(SUBSTITUTE(_xlfn.WEBSERVICE(_xlfn.CONCAT("http://172.31.103.65:5000/symbol/",$C103,"/annualGrowthRatio/raw")),".",",",1))</f>
        <v>0.43575301809464201</v>
      </c>
      <c r="F103" s="2">
        <f>_xlfn.NUMBERVALUE(SUBSTITUTE(_xlfn.WEBSERVICE(_xlfn.CONCAT("http://172.31.103.65:5000/symbol/",$C103,"/debtToEquityPercentage/raw")),".",",",1))/100</f>
        <v>0.75780000000000003</v>
      </c>
      <c r="G103" s="2">
        <f>_xlfn.NUMBERVALUE(SUBSTITUTE(_xlfn.WEBSERVICE(_xlfn.CONCAT("http://172.31.103.65:5000/symbol/",$C103,"/ROE/raw")),".",",",1))</f>
        <v>0.206772662366914</v>
      </c>
      <c r="H103" s="4">
        <f>_xlfn.NUMBERVALUE(SUBSTITUTE(_xlfn.WEBSERVICE(_xlfn.CONCAT("http://172.31.103.65:5000/symbol/",$C103,"/PERatio/raw")),".",",",1))</f>
        <v>42.021369999999997</v>
      </c>
      <c r="I103" s="5">
        <f>_xlfn.NUMBERVALUE(SUBSTITUTE(_xlfn.WEBSERVICE(_xlfn.CONCAT("http://172.31.103.65:5000/symbol/",$C103,"/discountToIntrinsicValueRatio/raw")),".",",",1))</f>
        <v>4.0672531037494499</v>
      </c>
      <c r="J103" t="str">
        <f>_xlfn.WEBSERVICE(_xlfn.CONCAT("http://172.31.103.65:5000/symbol/",$C103,"/recommendationKey/raw"))</f>
        <v>strong_buy</v>
      </c>
      <c r="K103" s="4">
        <f>_xlfn.NUMBERVALUE(_xlfn.WEBSERVICE(_xlfn.CONCAT("http://172.31.103.65:5000/symbol/",$C103,"/overallRisk/raw")))</f>
        <v>2</v>
      </c>
      <c r="L103" s="5">
        <f>_xlfn.NUMBERVALUE(SUBSTITUTE(_xlfn.WEBSERVICE(_xlfn.CONCAT("http://172.31.103.65:5000/symbol/",$C103,"/targetRatio/raw")),".",",",1))</f>
        <v>0.11400935624936399</v>
      </c>
      <c r="M103" t="str">
        <f>_xlfn.WEBSERVICE(_xlfn.CONCAT("http://172.31.103.65:5000/symbol/",$C103,"/exDividendDate/raw"))</f>
        <v>15/08/2025</v>
      </c>
      <c r="N103" s="7">
        <f>_xlfn.NUMBERVALUE(SUBSTITUTE(SUBSTITUTE(_xlfn.WEBSERVICE(_xlfn.CONCAT("http://172.31.103.65:5000/symbol/",$C103,"/dividendRate/raw")),".",",",1),"-","0", 1))</f>
        <v>0.94</v>
      </c>
      <c r="O103" s="7">
        <f>_xlfn.NUMBERVALUE(SUBSTITUTE(_xlfn.WEBSERVICE(_xlfn.CONCAT("http://172.31.103.65:5000/symbol/",$C103,"/currentPrice/raw")),".",",",1))</f>
        <v>98.33</v>
      </c>
      <c r="P103" s="2">
        <f>N103/O103</f>
        <v>9.5596460896979554E-3</v>
      </c>
    </row>
    <row r="104" spans="1:16" x14ac:dyDescent="0.25">
      <c r="A104">
        <v>101</v>
      </c>
      <c r="B104" t="s">
        <v>75</v>
      </c>
      <c r="C104" t="s">
        <v>226</v>
      </c>
      <c r="D104" t="s">
        <v>227</v>
      </c>
      <c r="E104" s="2">
        <f>_xlfn.NUMBERVALUE(SUBSTITUTE(_xlfn.WEBSERVICE(_xlfn.CONCAT("http://172.31.103.65:5000/symbol/",$C104,"/annualGrowthRatio/raw")),".",",",1))</f>
        <v>-1.1457730642042399E-2</v>
      </c>
      <c r="F104" s="2">
        <f>_xlfn.NUMBERVALUE(SUBSTITUTE(_xlfn.WEBSERVICE(_xlfn.CONCAT("http://172.31.103.65:5000/symbol/",$C104,"/debtToEquityPercentage/raw")),".",",",1))/100</f>
        <v>0.13918</v>
      </c>
      <c r="G104" s="2">
        <f>_xlfn.NUMBERVALUE(SUBSTITUTE(_xlfn.WEBSERVICE(_xlfn.CONCAT("http://172.31.103.65:5000/symbol/",$C104,"/ROE/raw")),".",",",1))</f>
        <v>0.125795871113554</v>
      </c>
      <c r="H104" s="4">
        <f>_xlfn.NUMBERVALUE(SUBSTITUTE(_xlfn.WEBSERVICE(_xlfn.CONCAT("http://172.31.103.65:5000/symbol/",$C104,"/PERatio/raw")),".",",",1))</f>
        <v>14.970822</v>
      </c>
      <c r="I104" s="5">
        <f>_xlfn.NUMBERVALUE(SUBSTITUTE(_xlfn.WEBSERVICE(_xlfn.CONCAT("http://172.31.103.65:5000/symbol/",$C104,"/discountToIntrinsicValueRatio/raw")),".",",",1))</f>
        <v>1.7374789301067499</v>
      </c>
      <c r="J104" t="str">
        <f>_xlfn.WEBSERVICE(_xlfn.CONCAT("http://172.31.103.65:5000/symbol/",$C104,"/recommendationKey/raw"))</f>
        <v>buy</v>
      </c>
      <c r="K104" s="4">
        <f>_xlfn.NUMBERVALUE(_xlfn.WEBSERVICE(_xlfn.CONCAT("http://172.31.103.65:5000/symbol/",$C104,"/overallRisk/raw")))</f>
        <v>7</v>
      </c>
      <c r="L104" s="5">
        <f>_xlfn.NUMBERVALUE(SUBSTITUTE(_xlfn.WEBSERVICE(_xlfn.CONCAT("http://172.31.103.65:5000/symbol/",$C104,"/targetRatio/raw")),".",",",1))</f>
        <v>9.7035170092133305E-2</v>
      </c>
      <c r="M104" t="str">
        <f>_xlfn.WEBSERVICE(_xlfn.CONCAT("http://172.31.103.65:5000/symbol/",$C104,"/exDividendDate/raw"))</f>
        <v>15/05/2025</v>
      </c>
      <c r="N104" s="7">
        <f>_xlfn.NUMBERVALUE(SUBSTITUTE(SUBSTITUTE(_xlfn.WEBSERVICE(_xlfn.CONCAT("http://172.31.103.65:5000/symbol/",$C104,"/dividendRate/raw")),".",",",1),"-","0", 1))</f>
        <v>3.96</v>
      </c>
      <c r="O104" s="7">
        <f>_xlfn.NUMBERVALUE(SUBSTITUTE(_xlfn.WEBSERVICE(_xlfn.CONCAT("http://172.31.103.65:5000/symbol/",$C104,"/currentPrice/raw")),".",",",1))</f>
        <v>112.88</v>
      </c>
      <c r="P104" s="2">
        <f>N104/O104</f>
        <v>3.5081502480510278E-2</v>
      </c>
    </row>
  </sheetData>
  <autoFilter ref="A3:P104" xr:uid="{475BC63A-16B2-4BEC-B8C9-F9E5950C9E59}">
    <sortState xmlns:xlrd2="http://schemas.microsoft.com/office/spreadsheetml/2017/richdata2" ref="A4:P104">
      <sortCondition ref="A3:A104"/>
    </sortState>
  </autoFilter>
  <mergeCells count="3">
    <mergeCell ref="E2:G2"/>
    <mergeCell ref="H2:I2"/>
    <mergeCell ref="J2:N2"/>
  </mergeCells>
  <conditionalFormatting sqref="E4:E104">
    <cfRule type="iconSet" priority="12">
      <iconSet>
        <cfvo type="percent" val="0"/>
        <cfvo type="num" val="0.01"/>
        <cfvo type="num" val="0.11"/>
      </iconSet>
    </cfRule>
  </conditionalFormatting>
  <conditionalFormatting sqref="F4:F104">
    <cfRule type="iconSet" priority="5">
      <iconSet reverse="1">
        <cfvo type="percent" val="0"/>
        <cfvo type="num" val="0.5"/>
        <cfvo type="num" val="1.5"/>
      </iconSet>
    </cfRule>
  </conditionalFormatting>
  <conditionalFormatting sqref="H4:H104">
    <cfRule type="iconSet" priority="11">
      <iconSet reverse="1">
        <cfvo type="percent" val="0"/>
        <cfvo type="num" val="20"/>
        <cfvo type="num" val="30" gte="0"/>
      </iconSet>
    </cfRule>
  </conditionalFormatting>
  <conditionalFormatting sqref="I4:I104">
    <cfRule type="iconSet" priority="10">
      <iconSet>
        <cfvo type="percent" val="0"/>
        <cfvo type="num" val="0"/>
        <cfvo type="num" val="0.2"/>
      </iconSet>
    </cfRule>
  </conditionalFormatting>
  <conditionalFormatting sqref="J4:J104">
    <cfRule type="cellIs" dxfId="1" priority="6" operator="equal">
      <formula>"strong_buy"</formula>
    </cfRule>
    <cfRule type="cellIs" dxfId="0" priority="7" operator="equal">
      <formula>"buy"</formula>
    </cfRule>
  </conditionalFormatting>
  <conditionalFormatting sqref="K4:L104">
    <cfRule type="iconSet" priority="9">
      <iconSet iconSet="3Flags" reverse="1">
        <cfvo type="percent" val="0"/>
        <cfvo type="num" val="3"/>
        <cfvo type="num" val="6"/>
      </iconSet>
    </cfRule>
  </conditionalFormatting>
  <conditionalFormatting sqref="N4:O104">
    <cfRule type="iconSet" priority="8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P4:P10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{05F93F74-D7B9-41C2-AE32-3BB9652D4A8A}</x14:id>
        </ext>
      </extLst>
    </cfRule>
  </conditionalFormatting>
  <conditionalFormatting sqref="G4:G104">
    <cfRule type="iconSet" priority="1">
      <iconSet iconSet="4Arrows">
        <cfvo type="percent" val="0"/>
        <cfvo type="num" val="0"/>
        <cfvo type="num" val="0.05"/>
        <cfvo type="num" val="0.15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A0AFCCD-4FFE-41C8-877C-F7E86EAF7E1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L4:L104</xm:sqref>
        </x14:conditionalFormatting>
        <x14:conditionalFormatting xmlns:xm="http://schemas.microsoft.com/office/excel/2006/main">
          <x14:cfRule type="dataBar" id="{05F93F74-D7B9-41C2-AE32-3BB9652D4A8A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P4:P104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2A0AFC3-8A73-4B53-A1AD-25F0A36D0F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S&amp;P100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Martín Rodríguez</dc:creator>
  <cp:lastModifiedBy>Álvaro Martín Rodríguez</cp:lastModifiedBy>
  <dcterms:created xsi:type="dcterms:W3CDTF">2025-02-16T09:27:57Z</dcterms:created>
  <dcterms:modified xsi:type="dcterms:W3CDTF">2025-07-30T00:09:39Z</dcterms:modified>
</cp:coreProperties>
</file>