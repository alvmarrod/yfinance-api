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0.04\home\btc\repos\yfinance-api\usage_examples\"/>
    </mc:Choice>
  </mc:AlternateContent>
  <xr:revisionPtr revIDLastSave="0" documentId="13_ncr:1_{B74EF69E-414F-4C9D-B235-8DDACEADF7BC}" xr6:coauthVersionLast="47" xr6:coauthVersionMax="47" xr10:uidLastSave="{00000000-0000-0000-0000-000000000000}"/>
  <bookViews>
    <workbookView xWindow="-28920" yWindow="7125" windowWidth="29040" windowHeight="15720" xr2:uid="{2F3B0920-4F2A-4556-82C4-1C56459A5FB5}"/>
  </bookViews>
  <sheets>
    <sheet name="S&amp;P100" sheetId="5" r:id="rId1"/>
  </sheets>
  <definedNames>
    <definedName name="_xlnm._FilterDatabase" localSheetId="0" hidden="1">'S&amp;P100'!$A$3:$P$104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5" l="1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4" i="5"/>
  <c r="O81" i="5"/>
  <c r="N81" i="5"/>
  <c r="M81" i="5"/>
  <c r="L81" i="5"/>
  <c r="K81" i="5"/>
  <c r="J81" i="5"/>
  <c r="I81" i="5"/>
  <c r="O47" i="5"/>
  <c r="N47" i="5"/>
  <c r="M47" i="5"/>
  <c r="L47" i="5"/>
  <c r="K47" i="5"/>
  <c r="J47" i="5"/>
  <c r="I47" i="5"/>
  <c r="O95" i="5"/>
  <c r="N95" i="5"/>
  <c r="M95" i="5"/>
  <c r="L95" i="5"/>
  <c r="K95" i="5"/>
  <c r="J95" i="5"/>
  <c r="I95" i="5"/>
  <c r="O70" i="5"/>
  <c r="N70" i="5"/>
  <c r="M70" i="5"/>
  <c r="L70" i="5"/>
  <c r="K70" i="5"/>
  <c r="J70" i="5"/>
  <c r="I70" i="5"/>
  <c r="O50" i="5"/>
  <c r="N50" i="5"/>
  <c r="M50" i="5"/>
  <c r="L50" i="5"/>
  <c r="K50" i="5"/>
  <c r="J50" i="5"/>
  <c r="I50" i="5"/>
  <c r="O73" i="5"/>
  <c r="N73" i="5"/>
  <c r="M73" i="5"/>
  <c r="L73" i="5"/>
  <c r="K73" i="5"/>
  <c r="J73" i="5"/>
  <c r="I73" i="5"/>
  <c r="O15" i="5"/>
  <c r="N15" i="5"/>
  <c r="M15" i="5"/>
  <c r="L15" i="5"/>
  <c r="K15" i="5"/>
  <c r="J15" i="5"/>
  <c r="I15" i="5"/>
  <c r="O77" i="5"/>
  <c r="N77" i="5"/>
  <c r="M77" i="5"/>
  <c r="L77" i="5"/>
  <c r="K77" i="5"/>
  <c r="J77" i="5"/>
  <c r="I77" i="5"/>
  <c r="O55" i="5"/>
  <c r="N55" i="5"/>
  <c r="M55" i="5"/>
  <c r="L55" i="5"/>
  <c r="K55" i="5"/>
  <c r="J55" i="5"/>
  <c r="I55" i="5"/>
  <c r="O24" i="5"/>
  <c r="N24" i="5"/>
  <c r="M24" i="5"/>
  <c r="L24" i="5"/>
  <c r="K24" i="5"/>
  <c r="J24" i="5"/>
  <c r="I24" i="5"/>
  <c r="O10" i="5"/>
  <c r="N10" i="5"/>
  <c r="M10" i="5"/>
  <c r="L10" i="5"/>
  <c r="K10" i="5"/>
  <c r="J10" i="5"/>
  <c r="I10" i="5"/>
  <c r="O94" i="5"/>
  <c r="N94" i="5"/>
  <c r="M94" i="5"/>
  <c r="L94" i="5"/>
  <c r="K94" i="5"/>
  <c r="J94" i="5"/>
  <c r="I94" i="5"/>
  <c r="O51" i="5"/>
  <c r="N51" i="5"/>
  <c r="M51" i="5"/>
  <c r="L51" i="5"/>
  <c r="K51" i="5"/>
  <c r="J51" i="5"/>
  <c r="I51" i="5"/>
  <c r="O91" i="5"/>
  <c r="N91" i="5"/>
  <c r="M91" i="5"/>
  <c r="L91" i="5"/>
  <c r="K91" i="5"/>
  <c r="J91" i="5"/>
  <c r="I91" i="5"/>
  <c r="O19" i="5"/>
  <c r="N19" i="5"/>
  <c r="M19" i="5"/>
  <c r="L19" i="5"/>
  <c r="K19" i="5"/>
  <c r="J19" i="5"/>
  <c r="I19" i="5"/>
  <c r="O68" i="5"/>
  <c r="N68" i="5"/>
  <c r="M68" i="5"/>
  <c r="L68" i="5"/>
  <c r="K68" i="5"/>
  <c r="J68" i="5"/>
  <c r="I68" i="5"/>
  <c r="O86" i="5"/>
  <c r="N86" i="5"/>
  <c r="M86" i="5"/>
  <c r="L86" i="5"/>
  <c r="K86" i="5"/>
  <c r="J86" i="5"/>
  <c r="I86" i="5"/>
  <c r="O74" i="5"/>
  <c r="N74" i="5"/>
  <c r="M74" i="5"/>
  <c r="L74" i="5"/>
  <c r="K74" i="5"/>
  <c r="J74" i="5"/>
  <c r="I74" i="5"/>
  <c r="O67" i="5"/>
  <c r="N67" i="5"/>
  <c r="M67" i="5"/>
  <c r="L67" i="5"/>
  <c r="K67" i="5"/>
  <c r="J67" i="5"/>
  <c r="I67" i="5"/>
  <c r="O39" i="5"/>
  <c r="N39" i="5"/>
  <c r="M39" i="5"/>
  <c r="L39" i="5"/>
  <c r="K39" i="5"/>
  <c r="J39" i="5"/>
  <c r="I39" i="5"/>
  <c r="O85" i="5"/>
  <c r="N85" i="5"/>
  <c r="M85" i="5"/>
  <c r="L85" i="5"/>
  <c r="K85" i="5"/>
  <c r="J85" i="5"/>
  <c r="I85" i="5"/>
  <c r="O20" i="5"/>
  <c r="N20" i="5"/>
  <c r="M20" i="5"/>
  <c r="L20" i="5"/>
  <c r="K20" i="5"/>
  <c r="J20" i="5"/>
  <c r="I20" i="5"/>
  <c r="O41" i="5"/>
  <c r="N41" i="5"/>
  <c r="M41" i="5"/>
  <c r="L41" i="5"/>
  <c r="K41" i="5"/>
  <c r="J41" i="5"/>
  <c r="I41" i="5"/>
  <c r="O102" i="5"/>
  <c r="N102" i="5"/>
  <c r="M102" i="5"/>
  <c r="L102" i="5"/>
  <c r="K102" i="5"/>
  <c r="J102" i="5"/>
  <c r="I102" i="5"/>
  <c r="O23" i="5"/>
  <c r="N23" i="5"/>
  <c r="M23" i="5"/>
  <c r="L23" i="5"/>
  <c r="K23" i="5"/>
  <c r="J23" i="5"/>
  <c r="I23" i="5"/>
  <c r="O49" i="5"/>
  <c r="N49" i="5"/>
  <c r="M49" i="5"/>
  <c r="L49" i="5"/>
  <c r="K49" i="5"/>
  <c r="J49" i="5"/>
  <c r="I49" i="5"/>
  <c r="O87" i="5"/>
  <c r="N87" i="5"/>
  <c r="M87" i="5"/>
  <c r="L87" i="5"/>
  <c r="K87" i="5"/>
  <c r="J87" i="5"/>
  <c r="I87" i="5"/>
  <c r="O28" i="5"/>
  <c r="N28" i="5"/>
  <c r="M28" i="5"/>
  <c r="L28" i="5"/>
  <c r="K28" i="5"/>
  <c r="J28" i="5"/>
  <c r="I28" i="5"/>
  <c r="O82" i="5"/>
  <c r="N82" i="5"/>
  <c r="M82" i="5"/>
  <c r="L82" i="5"/>
  <c r="K82" i="5"/>
  <c r="J82" i="5"/>
  <c r="I82" i="5"/>
  <c r="O88" i="5"/>
  <c r="N88" i="5"/>
  <c r="M88" i="5"/>
  <c r="L88" i="5"/>
  <c r="K88" i="5"/>
  <c r="J88" i="5"/>
  <c r="I88" i="5"/>
  <c r="O52" i="5"/>
  <c r="N52" i="5"/>
  <c r="M52" i="5"/>
  <c r="L52" i="5"/>
  <c r="K52" i="5"/>
  <c r="J52" i="5"/>
  <c r="I52" i="5"/>
  <c r="O66" i="5"/>
  <c r="N66" i="5"/>
  <c r="M66" i="5"/>
  <c r="L66" i="5"/>
  <c r="K66" i="5"/>
  <c r="J66" i="5"/>
  <c r="I66" i="5"/>
  <c r="O44" i="5"/>
  <c r="N44" i="5"/>
  <c r="M44" i="5"/>
  <c r="L44" i="5"/>
  <c r="K44" i="5"/>
  <c r="J44" i="5"/>
  <c r="I44" i="5"/>
  <c r="O42" i="5"/>
  <c r="N42" i="5"/>
  <c r="M42" i="5"/>
  <c r="L42" i="5"/>
  <c r="K42" i="5"/>
  <c r="J42" i="5"/>
  <c r="I42" i="5"/>
  <c r="O32" i="5"/>
  <c r="N32" i="5"/>
  <c r="M32" i="5"/>
  <c r="L32" i="5"/>
  <c r="K32" i="5"/>
  <c r="J32" i="5"/>
  <c r="I32" i="5"/>
  <c r="O18" i="5"/>
  <c r="N18" i="5"/>
  <c r="M18" i="5"/>
  <c r="L18" i="5"/>
  <c r="K18" i="5"/>
  <c r="J18" i="5"/>
  <c r="I18" i="5"/>
  <c r="O97" i="5"/>
  <c r="N97" i="5"/>
  <c r="M97" i="5"/>
  <c r="L97" i="5"/>
  <c r="K97" i="5"/>
  <c r="J97" i="5"/>
  <c r="I97" i="5"/>
  <c r="O37" i="5"/>
  <c r="N37" i="5"/>
  <c r="M37" i="5"/>
  <c r="L37" i="5"/>
  <c r="K37" i="5"/>
  <c r="J37" i="5"/>
  <c r="I37" i="5"/>
  <c r="O57" i="5"/>
  <c r="N57" i="5"/>
  <c r="M57" i="5"/>
  <c r="L57" i="5"/>
  <c r="K57" i="5"/>
  <c r="J57" i="5"/>
  <c r="I57" i="5"/>
  <c r="O90" i="5"/>
  <c r="N90" i="5"/>
  <c r="M90" i="5"/>
  <c r="L90" i="5"/>
  <c r="K90" i="5"/>
  <c r="J90" i="5"/>
  <c r="I90" i="5"/>
  <c r="O17" i="5"/>
  <c r="N17" i="5"/>
  <c r="M17" i="5"/>
  <c r="L17" i="5"/>
  <c r="K17" i="5"/>
  <c r="J17" i="5"/>
  <c r="I17" i="5"/>
  <c r="O43" i="5"/>
  <c r="N43" i="5"/>
  <c r="M43" i="5"/>
  <c r="L43" i="5"/>
  <c r="K43" i="5"/>
  <c r="J43" i="5"/>
  <c r="I43" i="5"/>
  <c r="O63" i="5"/>
  <c r="N63" i="5"/>
  <c r="M63" i="5"/>
  <c r="L63" i="5"/>
  <c r="K63" i="5"/>
  <c r="J63" i="5"/>
  <c r="I63" i="5"/>
  <c r="O25" i="5"/>
  <c r="N25" i="5"/>
  <c r="M25" i="5"/>
  <c r="L25" i="5"/>
  <c r="K25" i="5"/>
  <c r="J25" i="5"/>
  <c r="I25" i="5"/>
  <c r="O6" i="5"/>
  <c r="N6" i="5"/>
  <c r="M6" i="5"/>
  <c r="L6" i="5"/>
  <c r="K6" i="5"/>
  <c r="J6" i="5"/>
  <c r="I6" i="5"/>
  <c r="O35" i="5"/>
  <c r="N35" i="5"/>
  <c r="M35" i="5"/>
  <c r="L35" i="5"/>
  <c r="K35" i="5"/>
  <c r="J35" i="5"/>
  <c r="I35" i="5"/>
  <c r="O84" i="5"/>
  <c r="N84" i="5"/>
  <c r="M84" i="5"/>
  <c r="L84" i="5"/>
  <c r="K84" i="5"/>
  <c r="J84" i="5"/>
  <c r="I84" i="5"/>
  <c r="O16" i="5"/>
  <c r="N16" i="5"/>
  <c r="M16" i="5"/>
  <c r="L16" i="5"/>
  <c r="K16" i="5"/>
  <c r="J16" i="5"/>
  <c r="I16" i="5"/>
  <c r="O11" i="5"/>
  <c r="N11" i="5"/>
  <c r="M11" i="5"/>
  <c r="L11" i="5"/>
  <c r="K11" i="5"/>
  <c r="J11" i="5"/>
  <c r="I11" i="5"/>
  <c r="O14" i="5"/>
  <c r="N14" i="5"/>
  <c r="M14" i="5"/>
  <c r="L14" i="5"/>
  <c r="K14" i="5"/>
  <c r="J14" i="5"/>
  <c r="I14" i="5"/>
  <c r="O71" i="5"/>
  <c r="N71" i="5"/>
  <c r="M71" i="5"/>
  <c r="L71" i="5"/>
  <c r="K71" i="5"/>
  <c r="J71" i="5"/>
  <c r="I71" i="5"/>
  <c r="O26" i="5"/>
  <c r="N26" i="5"/>
  <c r="M26" i="5"/>
  <c r="L26" i="5"/>
  <c r="K26" i="5"/>
  <c r="J26" i="5"/>
  <c r="I26" i="5"/>
  <c r="O53" i="5"/>
  <c r="N53" i="5"/>
  <c r="M53" i="5"/>
  <c r="L53" i="5"/>
  <c r="K53" i="5"/>
  <c r="J53" i="5"/>
  <c r="I53" i="5"/>
  <c r="O99" i="5"/>
  <c r="N99" i="5"/>
  <c r="M99" i="5"/>
  <c r="L99" i="5"/>
  <c r="K99" i="5"/>
  <c r="J99" i="5"/>
  <c r="I99" i="5"/>
  <c r="O83" i="5"/>
  <c r="N83" i="5"/>
  <c r="M83" i="5"/>
  <c r="L83" i="5"/>
  <c r="K83" i="5"/>
  <c r="J83" i="5"/>
  <c r="I83" i="5"/>
  <c r="O80" i="5"/>
  <c r="N80" i="5"/>
  <c r="M80" i="5"/>
  <c r="L80" i="5"/>
  <c r="K80" i="5"/>
  <c r="J80" i="5"/>
  <c r="I80" i="5"/>
  <c r="O30" i="5"/>
  <c r="N30" i="5"/>
  <c r="M30" i="5"/>
  <c r="L30" i="5"/>
  <c r="K30" i="5"/>
  <c r="J30" i="5"/>
  <c r="I30" i="5"/>
  <c r="O4" i="5"/>
  <c r="N4" i="5"/>
  <c r="M4" i="5"/>
  <c r="L4" i="5"/>
  <c r="K4" i="5"/>
  <c r="J4" i="5"/>
  <c r="I4" i="5"/>
  <c r="O75" i="5"/>
  <c r="N75" i="5"/>
  <c r="M75" i="5"/>
  <c r="L75" i="5"/>
  <c r="K75" i="5"/>
  <c r="J75" i="5"/>
  <c r="I75" i="5"/>
  <c r="O100" i="5"/>
  <c r="N100" i="5"/>
  <c r="M100" i="5"/>
  <c r="L100" i="5"/>
  <c r="K100" i="5"/>
  <c r="J100" i="5"/>
  <c r="I100" i="5"/>
  <c r="O98" i="5"/>
  <c r="N98" i="5"/>
  <c r="M98" i="5"/>
  <c r="L98" i="5"/>
  <c r="K98" i="5"/>
  <c r="J98" i="5"/>
  <c r="I98" i="5"/>
  <c r="O9" i="5"/>
  <c r="N9" i="5"/>
  <c r="M9" i="5"/>
  <c r="L9" i="5"/>
  <c r="K9" i="5"/>
  <c r="J9" i="5"/>
  <c r="I9" i="5"/>
  <c r="O22" i="5"/>
  <c r="N22" i="5"/>
  <c r="M22" i="5"/>
  <c r="L22" i="5"/>
  <c r="K22" i="5"/>
  <c r="J22" i="5"/>
  <c r="I22" i="5"/>
  <c r="O38" i="5"/>
  <c r="N38" i="5"/>
  <c r="M38" i="5"/>
  <c r="L38" i="5"/>
  <c r="K38" i="5"/>
  <c r="J38" i="5"/>
  <c r="I38" i="5"/>
  <c r="O54" i="5"/>
  <c r="N54" i="5"/>
  <c r="M54" i="5"/>
  <c r="L54" i="5"/>
  <c r="K54" i="5"/>
  <c r="J54" i="5"/>
  <c r="I54" i="5"/>
  <c r="O78" i="5"/>
  <c r="N78" i="5"/>
  <c r="M78" i="5"/>
  <c r="L78" i="5"/>
  <c r="K78" i="5"/>
  <c r="J78" i="5"/>
  <c r="I78" i="5"/>
  <c r="O64" i="5"/>
  <c r="N64" i="5"/>
  <c r="M64" i="5"/>
  <c r="L64" i="5"/>
  <c r="K64" i="5"/>
  <c r="J64" i="5"/>
  <c r="I64" i="5"/>
  <c r="O5" i="5"/>
  <c r="N5" i="5"/>
  <c r="M5" i="5"/>
  <c r="L5" i="5"/>
  <c r="K5" i="5"/>
  <c r="J5" i="5"/>
  <c r="I5" i="5"/>
  <c r="O56" i="5"/>
  <c r="N56" i="5"/>
  <c r="M56" i="5"/>
  <c r="L56" i="5"/>
  <c r="K56" i="5"/>
  <c r="J56" i="5"/>
  <c r="I56" i="5"/>
  <c r="O89" i="5"/>
  <c r="N89" i="5"/>
  <c r="M89" i="5"/>
  <c r="L89" i="5"/>
  <c r="K89" i="5"/>
  <c r="J89" i="5"/>
  <c r="I89" i="5"/>
  <c r="O13" i="5"/>
  <c r="N13" i="5"/>
  <c r="M13" i="5"/>
  <c r="L13" i="5"/>
  <c r="K13" i="5"/>
  <c r="J13" i="5"/>
  <c r="I13" i="5"/>
  <c r="O40" i="5"/>
  <c r="N40" i="5"/>
  <c r="M40" i="5"/>
  <c r="L40" i="5"/>
  <c r="K40" i="5"/>
  <c r="J40" i="5"/>
  <c r="I40" i="5"/>
  <c r="O101" i="5"/>
  <c r="N101" i="5"/>
  <c r="M101" i="5"/>
  <c r="L101" i="5"/>
  <c r="K101" i="5"/>
  <c r="J101" i="5"/>
  <c r="I101" i="5"/>
  <c r="O72" i="5"/>
  <c r="N72" i="5"/>
  <c r="M72" i="5"/>
  <c r="L72" i="5"/>
  <c r="K72" i="5"/>
  <c r="J72" i="5"/>
  <c r="I72" i="5"/>
  <c r="O34" i="5"/>
  <c r="N34" i="5"/>
  <c r="M34" i="5"/>
  <c r="L34" i="5"/>
  <c r="K34" i="5"/>
  <c r="J34" i="5"/>
  <c r="I34" i="5"/>
  <c r="O12" i="5"/>
  <c r="N12" i="5"/>
  <c r="M12" i="5"/>
  <c r="L12" i="5"/>
  <c r="K12" i="5"/>
  <c r="J12" i="5"/>
  <c r="I12" i="5"/>
  <c r="O76" i="5"/>
  <c r="N76" i="5"/>
  <c r="M76" i="5"/>
  <c r="L76" i="5"/>
  <c r="K76" i="5"/>
  <c r="J76" i="5"/>
  <c r="I76" i="5"/>
  <c r="O61" i="5"/>
  <c r="N61" i="5"/>
  <c r="M61" i="5"/>
  <c r="L61" i="5"/>
  <c r="K61" i="5"/>
  <c r="J61" i="5"/>
  <c r="I61" i="5"/>
  <c r="O45" i="5"/>
  <c r="N45" i="5"/>
  <c r="M45" i="5"/>
  <c r="L45" i="5"/>
  <c r="K45" i="5"/>
  <c r="J45" i="5"/>
  <c r="I45" i="5"/>
  <c r="O62" i="5"/>
  <c r="N62" i="5"/>
  <c r="M62" i="5"/>
  <c r="L62" i="5"/>
  <c r="K62" i="5"/>
  <c r="J62" i="5"/>
  <c r="I62" i="5"/>
  <c r="O27" i="5"/>
  <c r="N27" i="5"/>
  <c r="M27" i="5"/>
  <c r="L27" i="5"/>
  <c r="K27" i="5"/>
  <c r="J27" i="5"/>
  <c r="I27" i="5"/>
  <c r="O103" i="5"/>
  <c r="N103" i="5"/>
  <c r="M103" i="5"/>
  <c r="L103" i="5"/>
  <c r="K103" i="5"/>
  <c r="J103" i="5"/>
  <c r="I103" i="5"/>
  <c r="O104" i="5"/>
  <c r="N104" i="5"/>
  <c r="M104" i="5"/>
  <c r="L104" i="5"/>
  <c r="K104" i="5"/>
  <c r="J104" i="5"/>
  <c r="I104" i="5"/>
  <c r="O48" i="5"/>
  <c r="N48" i="5"/>
  <c r="M48" i="5"/>
  <c r="L48" i="5"/>
  <c r="K48" i="5"/>
  <c r="J48" i="5"/>
  <c r="I48" i="5"/>
  <c r="O7" i="5"/>
  <c r="N7" i="5"/>
  <c r="M7" i="5"/>
  <c r="L7" i="5"/>
  <c r="K7" i="5"/>
  <c r="J7" i="5"/>
  <c r="I7" i="5"/>
  <c r="O46" i="5"/>
  <c r="N46" i="5"/>
  <c r="M46" i="5"/>
  <c r="L46" i="5"/>
  <c r="K46" i="5"/>
  <c r="J46" i="5"/>
  <c r="I46" i="5"/>
  <c r="O93" i="5"/>
  <c r="N93" i="5"/>
  <c r="M93" i="5"/>
  <c r="L93" i="5"/>
  <c r="K93" i="5"/>
  <c r="J93" i="5"/>
  <c r="I93" i="5"/>
  <c r="O59" i="5"/>
  <c r="N59" i="5"/>
  <c r="M59" i="5"/>
  <c r="L59" i="5"/>
  <c r="K59" i="5"/>
  <c r="J59" i="5"/>
  <c r="I59" i="5"/>
  <c r="O79" i="5"/>
  <c r="N79" i="5"/>
  <c r="M79" i="5"/>
  <c r="L79" i="5"/>
  <c r="K79" i="5"/>
  <c r="J79" i="5"/>
  <c r="I79" i="5"/>
  <c r="O65" i="5"/>
  <c r="N65" i="5"/>
  <c r="M65" i="5"/>
  <c r="L65" i="5"/>
  <c r="K65" i="5"/>
  <c r="J65" i="5"/>
  <c r="I65" i="5"/>
  <c r="O60" i="5"/>
  <c r="N60" i="5"/>
  <c r="M60" i="5"/>
  <c r="L60" i="5"/>
  <c r="K60" i="5"/>
  <c r="J60" i="5"/>
  <c r="I60" i="5"/>
  <c r="O33" i="5"/>
  <c r="N33" i="5"/>
  <c r="M33" i="5"/>
  <c r="L33" i="5"/>
  <c r="K33" i="5"/>
  <c r="J33" i="5"/>
  <c r="I33" i="5"/>
  <c r="O21" i="5"/>
  <c r="N21" i="5"/>
  <c r="M21" i="5"/>
  <c r="L21" i="5"/>
  <c r="K21" i="5"/>
  <c r="J21" i="5"/>
  <c r="I21" i="5"/>
  <c r="O58" i="5"/>
  <c r="N58" i="5"/>
  <c r="M58" i="5"/>
  <c r="L58" i="5"/>
  <c r="K58" i="5"/>
  <c r="J58" i="5"/>
  <c r="I58" i="5"/>
  <c r="O36" i="5"/>
  <c r="N36" i="5"/>
  <c r="M36" i="5"/>
  <c r="L36" i="5"/>
  <c r="K36" i="5"/>
  <c r="J36" i="5"/>
  <c r="I36" i="5"/>
  <c r="O29" i="5"/>
  <c r="N29" i="5"/>
  <c r="M29" i="5"/>
  <c r="L29" i="5"/>
  <c r="K29" i="5"/>
  <c r="J29" i="5"/>
  <c r="I29" i="5"/>
  <c r="O69" i="5"/>
  <c r="N69" i="5"/>
  <c r="M69" i="5"/>
  <c r="L69" i="5"/>
  <c r="K69" i="5"/>
  <c r="J69" i="5"/>
  <c r="I69" i="5"/>
  <c r="O96" i="5"/>
  <c r="N96" i="5"/>
  <c r="M96" i="5"/>
  <c r="L96" i="5"/>
  <c r="K96" i="5"/>
  <c r="J96" i="5"/>
  <c r="I96" i="5"/>
  <c r="O92" i="5"/>
  <c r="N92" i="5"/>
  <c r="M92" i="5"/>
  <c r="L92" i="5"/>
  <c r="K92" i="5"/>
  <c r="J92" i="5"/>
  <c r="I92" i="5"/>
  <c r="O8" i="5"/>
  <c r="N8" i="5"/>
  <c r="M8" i="5"/>
  <c r="L8" i="5"/>
  <c r="K8" i="5"/>
  <c r="J8" i="5"/>
  <c r="I8" i="5"/>
  <c r="O31" i="5"/>
  <c r="N31" i="5"/>
  <c r="M31" i="5"/>
  <c r="L31" i="5"/>
  <c r="K31" i="5"/>
  <c r="J31" i="5"/>
  <c r="I31" i="5"/>
  <c r="P31" i="5" l="1"/>
  <c r="P11" i="5"/>
  <c r="P37" i="5"/>
  <c r="P63" i="5"/>
  <c r="P4" i="5"/>
  <c r="P14" i="5"/>
  <c r="P23" i="5"/>
  <c r="P53" i="5"/>
  <c r="P71" i="5"/>
  <c r="P69" i="5"/>
  <c r="P19" i="5"/>
  <c r="P30" i="5"/>
  <c r="P41" i="5"/>
  <c r="P12" i="5"/>
  <c r="P45" i="5"/>
  <c r="P21" i="5"/>
  <c r="P57" i="5"/>
  <c r="P46" i="5"/>
  <c r="P94" i="5"/>
  <c r="P86" i="5"/>
  <c r="P26" i="5"/>
  <c r="P42" i="5"/>
  <c r="P58" i="5"/>
  <c r="P74" i="5"/>
  <c r="P85" i="5"/>
  <c r="P13" i="5"/>
  <c r="P73" i="5"/>
  <c r="P25" i="5"/>
  <c r="P83" i="5"/>
  <c r="P22" i="5"/>
  <c r="P81" i="5"/>
  <c r="P104" i="5"/>
  <c r="P55" i="5"/>
  <c r="P40" i="5"/>
  <c r="P88" i="5"/>
  <c r="P56" i="5"/>
  <c r="P103" i="5"/>
  <c r="P87" i="5"/>
  <c r="P70" i="5"/>
  <c r="P102" i="5"/>
  <c r="P54" i="5"/>
  <c r="P24" i="5"/>
  <c r="P101" i="5"/>
  <c r="P38" i="5"/>
  <c r="P98" i="5"/>
  <c r="P39" i="5"/>
  <c r="P82" i="5"/>
  <c r="P97" i="5"/>
  <c r="P66" i="5"/>
  <c r="P65" i="5"/>
  <c r="P50" i="5"/>
  <c r="P49" i="5"/>
  <c r="P99" i="5"/>
  <c r="P34" i="5"/>
  <c r="P95" i="5"/>
  <c r="P33" i="5"/>
  <c r="P79" i="5"/>
  <c r="P67" i="5"/>
  <c r="P100" i="5"/>
  <c r="P51" i="5"/>
  <c r="P47" i="5"/>
  <c r="P84" i="5"/>
  <c r="P35" i="5"/>
  <c r="P18" i="5"/>
  <c r="P68" i="5"/>
  <c r="P52" i="5"/>
  <c r="P17" i="5"/>
  <c r="P36" i="5"/>
  <c r="P78" i="5"/>
  <c r="P62" i="5"/>
  <c r="P15" i="5"/>
  <c r="P20" i="5"/>
  <c r="P9" i="5"/>
  <c r="P10" i="5"/>
  <c r="P8" i="5"/>
  <c r="P6" i="5"/>
  <c r="P5" i="5"/>
  <c r="P7" i="5"/>
  <c r="P96" i="5"/>
  <c r="P80" i="5"/>
  <c r="P64" i="5"/>
  <c r="P48" i="5"/>
  <c r="P32" i="5"/>
  <c r="P16" i="5"/>
  <c r="P93" i="5"/>
  <c r="P77" i="5"/>
  <c r="P61" i="5"/>
  <c r="P29" i="5"/>
  <c r="P92" i="5"/>
  <c r="P76" i="5"/>
  <c r="P60" i="5"/>
  <c r="P44" i="5"/>
  <c r="P28" i="5"/>
  <c r="P89" i="5"/>
  <c r="P91" i="5"/>
  <c r="P75" i="5"/>
  <c r="P59" i="5"/>
  <c r="P43" i="5"/>
  <c r="P27" i="5"/>
  <c r="P90" i="5"/>
  <c r="P72" i="5"/>
</calcChain>
</file>

<file path=xl/sharedStrings.xml><?xml version="1.0" encoding="utf-8"?>
<sst xmlns="http://schemas.openxmlformats.org/spreadsheetml/2006/main" count="322" uniqueCount="230">
  <si>
    <t>S.No.</t>
  </si>
  <si>
    <t>Company Name</t>
  </si>
  <si>
    <t>Code</t>
  </si>
  <si>
    <t>Sector</t>
  </si>
  <si>
    <t>Real Estate</t>
  </si>
  <si>
    <t>Annual Growth</t>
  </si>
  <si>
    <t>Debt to Equity</t>
  </si>
  <si>
    <t>Fundamentals</t>
  </si>
  <si>
    <t>P/E</t>
  </si>
  <si>
    <t>Valuation</t>
  </si>
  <si>
    <t>Discount To FV</t>
  </si>
  <si>
    <t>Personal</t>
  </si>
  <si>
    <t>Rec</t>
  </si>
  <si>
    <t>Risk</t>
  </si>
  <si>
    <t>ex Dividend</t>
  </si>
  <si>
    <t>Dividend</t>
  </si>
  <si>
    <t>Target %</t>
  </si>
  <si>
    <t>Price</t>
  </si>
  <si>
    <t>Dividend %</t>
  </si>
  <si>
    <t>Information Technology</t>
  </si>
  <si>
    <t>AAPL</t>
  </si>
  <si>
    <t>Apple Inc.</t>
  </si>
  <si>
    <t>Health Care</t>
  </si>
  <si>
    <t>ABBV</t>
  </si>
  <si>
    <t>AbbVie</t>
  </si>
  <si>
    <t>ABT</t>
  </si>
  <si>
    <t>Abbott Laboratories</t>
  </si>
  <si>
    <t>ACN</t>
  </si>
  <si>
    <t>Accenture plc</t>
  </si>
  <si>
    <t>ADBE</t>
  </si>
  <si>
    <t>Adobe Inc.</t>
  </si>
  <si>
    <t>Financials</t>
  </si>
  <si>
    <t>AIG</t>
  </si>
  <si>
    <t>American International Group</t>
  </si>
  <si>
    <t>AMD</t>
  </si>
  <si>
    <t>Advanced Micro Devices</t>
  </si>
  <si>
    <t>AMGN</t>
  </si>
  <si>
    <t>Amgen</t>
  </si>
  <si>
    <t>AMT</t>
  </si>
  <si>
    <t>American Tower</t>
  </si>
  <si>
    <t>Consumer Discretionary</t>
  </si>
  <si>
    <t>AMZN</t>
  </si>
  <si>
    <t>Amazon</t>
  </si>
  <si>
    <t>AVGO</t>
  </si>
  <si>
    <t>Broadcom</t>
  </si>
  <si>
    <t>AXP</t>
  </si>
  <si>
    <t>American Express</t>
  </si>
  <si>
    <t>Industrials</t>
  </si>
  <si>
    <t>BA</t>
  </si>
  <si>
    <t>Boeing</t>
  </si>
  <si>
    <t>BAC</t>
  </si>
  <si>
    <t>Bank of America</t>
  </si>
  <si>
    <t>BK</t>
  </si>
  <si>
    <t>BNY Mellon</t>
  </si>
  <si>
    <t>BKNG</t>
  </si>
  <si>
    <t>Booking Holdings</t>
  </si>
  <si>
    <t>BLK</t>
  </si>
  <si>
    <t>BlackRock</t>
  </si>
  <si>
    <t>BMY</t>
  </si>
  <si>
    <t>Bristol Myers Squibb</t>
  </si>
  <si>
    <t>Berkshire Hathaway Inc. (Class B)</t>
  </si>
  <si>
    <t>C</t>
  </si>
  <si>
    <t>Citigroup</t>
  </si>
  <si>
    <t>CAT</t>
  </si>
  <si>
    <t>Caterpillar Inc.</t>
  </si>
  <si>
    <t>Communication Services</t>
  </si>
  <si>
    <t>CHTR</t>
  </si>
  <si>
    <t>Charter Communications</t>
  </si>
  <si>
    <t>Consumer Staples</t>
  </si>
  <si>
    <t>CL</t>
  </si>
  <si>
    <t>Colgate-Palmolive</t>
  </si>
  <si>
    <t>CMCSA</t>
  </si>
  <si>
    <t>Comcast</t>
  </si>
  <si>
    <t>COF</t>
  </si>
  <si>
    <t>Capital One Financial</t>
  </si>
  <si>
    <t>Energy</t>
  </si>
  <si>
    <t>COP</t>
  </si>
  <si>
    <t>ConocoPhillips</t>
  </si>
  <si>
    <t>COST</t>
  </si>
  <si>
    <t>Costco</t>
  </si>
  <si>
    <t>CRM</t>
  </si>
  <si>
    <t>Salesforce</t>
  </si>
  <si>
    <t>CSCO</t>
  </si>
  <si>
    <t>Cisco</t>
  </si>
  <si>
    <t>CVS</t>
  </si>
  <si>
    <t>CVS Health</t>
  </si>
  <si>
    <t>CVX</t>
  </si>
  <si>
    <t>Chevron Corporation</t>
  </si>
  <si>
    <t>DE</t>
  </si>
  <si>
    <t>Deere &amp; Company</t>
  </si>
  <si>
    <t>DHR</t>
  </si>
  <si>
    <t>Danaher Corporation</t>
  </si>
  <si>
    <t>DIS</t>
  </si>
  <si>
    <t>Walt Disney Company</t>
  </si>
  <si>
    <t>Utilities</t>
  </si>
  <si>
    <t>DUK</t>
  </si>
  <si>
    <t>Duke Energy</t>
  </si>
  <si>
    <t>EMR</t>
  </si>
  <si>
    <t>Emerson Electric</t>
  </si>
  <si>
    <t>FDX</t>
  </si>
  <si>
    <t>FedEx</t>
  </si>
  <si>
    <t>GD</t>
  </si>
  <si>
    <t>General Dynamics</t>
  </si>
  <si>
    <t>GE</t>
  </si>
  <si>
    <t>GE Aerospace</t>
  </si>
  <si>
    <t>GILD</t>
  </si>
  <si>
    <t>Gilead Sciences</t>
  </si>
  <si>
    <t>GM</t>
  </si>
  <si>
    <t>General Motors</t>
  </si>
  <si>
    <t>GOOG</t>
  </si>
  <si>
    <t>Alphabet Inc. (Class C)</t>
  </si>
  <si>
    <t>GOOGL</t>
  </si>
  <si>
    <t>Alphabet Inc. (Class A)</t>
  </si>
  <si>
    <t>GS</t>
  </si>
  <si>
    <t>Goldman Sachs</t>
  </si>
  <si>
    <t>HD</t>
  </si>
  <si>
    <t>Home Depot</t>
  </si>
  <si>
    <t>HON</t>
  </si>
  <si>
    <t>Honeywell</t>
  </si>
  <si>
    <t>IBM</t>
  </si>
  <si>
    <t>INTC</t>
  </si>
  <si>
    <t>Intel</t>
  </si>
  <si>
    <t>INTU</t>
  </si>
  <si>
    <t>Intuit</t>
  </si>
  <si>
    <t>ISRG</t>
  </si>
  <si>
    <t>Intuitive Surgical</t>
  </si>
  <si>
    <t>JNJ</t>
  </si>
  <si>
    <t>Johnson &amp; Johnson</t>
  </si>
  <si>
    <t>JPM</t>
  </si>
  <si>
    <t>JPMorgan Chase</t>
  </si>
  <si>
    <t>KO</t>
  </si>
  <si>
    <t>Coca-Cola</t>
  </si>
  <si>
    <t>Materials</t>
  </si>
  <si>
    <t>LIN</t>
  </si>
  <si>
    <t>Linde plc</t>
  </si>
  <si>
    <t>LLY</t>
  </si>
  <si>
    <t>Eli Lilly and Company</t>
  </si>
  <si>
    <t>LMT</t>
  </si>
  <si>
    <t>Lockheed Martin</t>
  </si>
  <si>
    <t>LOW</t>
  </si>
  <si>
    <t>Lowe's</t>
  </si>
  <si>
    <t>MA</t>
  </si>
  <si>
    <t>Mastercard</t>
  </si>
  <si>
    <t>MCD</t>
  </si>
  <si>
    <t>McDonald's</t>
  </si>
  <si>
    <t>MDLZ</t>
  </si>
  <si>
    <t>Mondelēz International</t>
  </si>
  <si>
    <t>MDT</t>
  </si>
  <si>
    <t>Medtronic</t>
  </si>
  <si>
    <t>MET</t>
  </si>
  <si>
    <t>MetLife</t>
  </si>
  <si>
    <t>META</t>
  </si>
  <si>
    <t>Meta Platforms</t>
  </si>
  <si>
    <t>MMM</t>
  </si>
  <si>
    <t>3M</t>
  </si>
  <si>
    <t>MO</t>
  </si>
  <si>
    <t>Altria</t>
  </si>
  <si>
    <t>MRK</t>
  </si>
  <si>
    <t>Merck &amp; Co.</t>
  </si>
  <si>
    <t>MS</t>
  </si>
  <si>
    <t>Morgan Stanley</t>
  </si>
  <si>
    <t>MSFT</t>
  </si>
  <si>
    <t>Microsoft</t>
  </si>
  <si>
    <t>NEE</t>
  </si>
  <si>
    <t>NextEra Energy</t>
  </si>
  <si>
    <t>NFLX</t>
  </si>
  <si>
    <t>Netflix</t>
  </si>
  <si>
    <t>NKE</t>
  </si>
  <si>
    <t>Nike</t>
  </si>
  <si>
    <t>NOW</t>
  </si>
  <si>
    <t>ServiceNow</t>
  </si>
  <si>
    <t>NVDA</t>
  </si>
  <si>
    <t>Nvidia</t>
  </si>
  <si>
    <t>ORCL</t>
  </si>
  <si>
    <t>Oracle</t>
  </si>
  <si>
    <t>PEP</t>
  </si>
  <si>
    <t>PepsiCo</t>
  </si>
  <si>
    <t>PFE</t>
  </si>
  <si>
    <t>Pfizer</t>
  </si>
  <si>
    <t>PG</t>
  </si>
  <si>
    <t>Procter &amp; Gamble</t>
  </si>
  <si>
    <t>PLTR</t>
  </si>
  <si>
    <t>Palantir Technologies</t>
  </si>
  <si>
    <t>PM</t>
  </si>
  <si>
    <t>Philip Morris International</t>
  </si>
  <si>
    <t>PYPL</t>
  </si>
  <si>
    <t>PayPal</t>
  </si>
  <si>
    <t>QCOM</t>
  </si>
  <si>
    <t>Qualcomm</t>
  </si>
  <si>
    <t>RTX</t>
  </si>
  <si>
    <t>RTX Corporation</t>
  </si>
  <si>
    <t>SBUX</t>
  </si>
  <si>
    <t>Starbucks</t>
  </si>
  <si>
    <t>SCHW</t>
  </si>
  <si>
    <t>Charles Schwab</t>
  </si>
  <si>
    <t>SO</t>
  </si>
  <si>
    <t>Southern Company</t>
  </si>
  <si>
    <t>SPG</t>
  </si>
  <si>
    <t>Simon Property Group</t>
  </si>
  <si>
    <t>T</t>
  </si>
  <si>
    <t>AT&amp;T</t>
  </si>
  <si>
    <t>TGT</t>
  </si>
  <si>
    <t>Target</t>
  </si>
  <si>
    <t>TMO</t>
  </si>
  <si>
    <t>Thermo Fisher Scientific</t>
  </si>
  <si>
    <t>TMUS</t>
  </si>
  <si>
    <t>T-Mobile US</t>
  </si>
  <si>
    <t>TSLA</t>
  </si>
  <si>
    <t>Tesla</t>
  </si>
  <si>
    <t>TXN</t>
  </si>
  <si>
    <t>Texas Instruments</t>
  </si>
  <si>
    <t>UNH</t>
  </si>
  <si>
    <t>UnitedHealth Group</t>
  </si>
  <si>
    <t>UNP</t>
  </si>
  <si>
    <t>Union Pacific</t>
  </si>
  <si>
    <t>UPS</t>
  </si>
  <si>
    <t>USB</t>
  </si>
  <si>
    <t>U.S. Bancorp</t>
  </si>
  <si>
    <t>V</t>
  </si>
  <si>
    <t>Visa</t>
  </si>
  <si>
    <t>VZ</t>
  </si>
  <si>
    <t>Verizon</t>
  </si>
  <si>
    <t>WFC</t>
  </si>
  <si>
    <t>Wells Fargo</t>
  </si>
  <si>
    <t>WMT</t>
  </si>
  <si>
    <t>Walmart</t>
  </si>
  <si>
    <t>XOM</t>
  </si>
  <si>
    <t>ExxonMobil</t>
  </si>
  <si>
    <t>BRK-B</t>
  </si>
  <si>
    <t>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</si>
</sst>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0" fontId="0" fillId="0" borderId="0" xfId="1" applyNumberFormat="1" applyFont="1"/>
    <xf numFmtId="0" fontId="1" fillId="0" borderId="0" xfId="0" applyFont="1" applyAlignment="1">
      <alignment horizontal="center"/>
    </xf>
    <xf numFmtId="2" fontId="0" fillId="0" borderId="0" xfId="0" applyNumberFormat="1"/>
    <xf numFmtId="9" fontId="0" fillId="0" borderId="0" xfId="1" applyFont="1"/>
    <xf numFmtId="0" fontId="0" fillId="4" borderId="0" xfId="0" applyFill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Normal" xfId="0" builtinId="0"/>
    <cellStyle name="Porcentaje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b/>
        <i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BC63A-16B2-4BEC-B8C9-F9E5950C9E59}">
  <dimension ref="A2:P104"/>
  <sheetViews>
    <sheetView tabSelected="1" workbookViewId="0">
      <selection activeCell="H4" sqref="H4:H104"/>
    </sheetView>
  </sheetViews>
  <sheetFormatPr baseColWidth="10" defaultRowHeight="14.5" x14ac:dyDescent="0.35"/>
  <cols>
    <col min="1" max="1" width="8.1796875" bestFit="1" customWidth="1"/>
    <col min="2" max="2" width="23" bestFit="1" customWidth="1"/>
    <col min="3" max="3" width="8.1796875" bestFit="1" customWidth="1"/>
    <col min="4" max="4" width="30.81640625" bestFit="1" customWidth="1"/>
    <col min="5" max="5" width="18.7265625" bestFit="1" customWidth="1"/>
    <col min="6" max="6" width="18.453125" bestFit="1" customWidth="1"/>
    <col min="7" max="7" width="11.453125" bestFit="1" customWidth="1"/>
    <col min="8" max="8" width="9.1796875" bestFit="1" customWidth="1"/>
    <col min="9" max="9" width="18.81640625" bestFit="1" customWidth="1"/>
    <col min="10" max="10" width="10.81640625" bestFit="1" customWidth="1"/>
    <col min="11" max="11" width="9.453125" bestFit="1" customWidth="1"/>
    <col min="12" max="12" width="13.1796875" bestFit="1" customWidth="1"/>
    <col min="13" max="13" width="16.26953125" bestFit="1" customWidth="1"/>
    <col min="14" max="14" width="13.7265625" bestFit="1" customWidth="1"/>
    <col min="15" max="15" width="12.54296875" bestFit="1" customWidth="1"/>
    <col min="16" max="16" width="15.7265625" bestFit="1" customWidth="1"/>
  </cols>
  <sheetData>
    <row r="2" spans="1:16" x14ac:dyDescent="0.35">
      <c r="E2" s="8" t="s">
        <v>7</v>
      </c>
      <c r="F2" s="8"/>
      <c r="G2" s="8"/>
      <c r="H2" s="9" t="s">
        <v>9</v>
      </c>
      <c r="I2" s="9"/>
      <c r="J2" s="10" t="s">
        <v>11</v>
      </c>
      <c r="K2" s="10"/>
      <c r="L2" s="10"/>
      <c r="M2" s="10"/>
      <c r="N2" s="10"/>
      <c r="O2" s="6"/>
      <c r="P2" s="6"/>
    </row>
    <row r="3" spans="1:16" x14ac:dyDescent="0.35">
      <c r="A3" s="1" t="s">
        <v>0</v>
      </c>
      <c r="B3" s="1" t="s">
        <v>3</v>
      </c>
      <c r="C3" s="1" t="s">
        <v>2</v>
      </c>
      <c r="D3" s="1" t="s">
        <v>1</v>
      </c>
      <c r="E3" s="3" t="s">
        <v>5</v>
      </c>
      <c r="F3" s="3" t="s">
        <v>6</v>
      </c>
      <c r="G3" s="3" t="s">
        <v>229</v>
      </c>
      <c r="H3" s="3" t="s">
        <v>8</v>
      </c>
      <c r="I3" s="3" t="s">
        <v>10</v>
      </c>
      <c r="J3" s="3" t="s">
        <v>12</v>
      </c>
      <c r="K3" s="3" t="s">
        <v>13</v>
      </c>
      <c r="L3" s="3" t="s">
        <v>16</v>
      </c>
      <c r="M3" s="3" t="s">
        <v>14</v>
      </c>
      <c r="N3" s="3" t="s">
        <v>15</v>
      </c>
      <c r="O3" s="3" t="s">
        <v>17</v>
      </c>
      <c r="P3" s="3" t="s">
        <v>18</v>
      </c>
    </row>
    <row r="4" spans="1:16" x14ac:dyDescent="0.35">
      <c r="A4">
        <v>1</v>
      </c>
      <c r="B4" t="s">
        <v>19</v>
      </c>
      <c r="C4" t="s">
        <v>20</v>
      </c>
      <c r="D4" t="s">
        <v>21</v>
      </c>
      <c r="E4" s="2">
        <f>IFERROR(_xlfn.NUMBERVALUE(SUBSTITUTE(_xlfn.WEBSERVICE(_xlfn.CONCAT("http://172.31.103.65:5000/symbol/",$C4,"/annualGrowthRatio/raw")),".",",",1)),"-")</f>
        <v>1.84296403166079E-2</v>
      </c>
      <c r="F4" s="2" t="str">
        <f>IFERROR(_xlfn.NUMBERVALUE(SUBSTITUTE(_xlfn.WEBSERVICE(_xlfn.CONCAT("http://172.31.103.65:5000/symbol/",$C4,"/debtToEquityPercentage/raw")),".",",",1))/100,"-")</f>
        <v>-</v>
      </c>
      <c r="G4" s="2">
        <f>IFERROR(_xlfn.NUMBERVALUE(SUBSTITUTE(_xlfn.WEBSERVICE(_xlfn.CONCAT("http://172.31.103.65:5000/symbol/",$C4,"/ROE/raw")),".",",",1)),"-")</f>
        <v>1.7432836360316</v>
      </c>
      <c r="H4" s="4">
        <f>IFERROR(_xlfn.NUMBERVALUE(SUBSTITUTE(_xlfn.WEBSERVICE(_xlfn.CONCAT("http://172.31.103.65:5000/symbol/",$C4,"/PERatio/raw")),".",",",1)), "-")</f>
        <v>35.226100000000002</v>
      </c>
      <c r="I4" s="5">
        <f t="shared" ref="I4:I35" si="0">_xlfn.NUMBERVALUE(SUBSTITUTE(_xlfn.WEBSERVICE(_xlfn.CONCAT("http://172.31.103.65:5000/symbol/",$C4,"/discountToIntrinsicValueRatio/raw")),".",",",1))</f>
        <v>-0.36548131487441898</v>
      </c>
      <c r="J4" t="str">
        <f t="shared" ref="J4:J35" si="1">_xlfn.WEBSERVICE(_xlfn.CONCAT("http://172.31.103.65:5000/symbol/",$C4,"/recommendationKey/raw"))</f>
        <v>buy</v>
      </c>
      <c r="K4" s="4">
        <f t="shared" ref="K4:K35" si="2">_xlfn.NUMBERVALUE(_xlfn.WEBSERVICE(_xlfn.CONCAT("http://172.31.103.65:5000/symbol/",$C4,"/overallRisk/raw")))</f>
        <v>1</v>
      </c>
      <c r="L4" s="5">
        <f t="shared" ref="L4:L35" si="3">_xlfn.NUMBERVALUE(SUBSTITUTE(_xlfn.WEBSERVICE(_xlfn.CONCAT("http://172.31.103.65:5000/symbol/",$C4,"/targetRatio/raw")),".",",",1))</f>
        <v>9.1596440573673402E-2</v>
      </c>
      <c r="M4" t="str">
        <f t="shared" ref="M4:M35" si="4">_xlfn.WEBSERVICE(_xlfn.CONCAT("http://172.31.103.65:5000/symbol/",$C4,"/exDividendDate/raw"))</f>
        <v>12/05/2025</v>
      </c>
      <c r="N4" s="7">
        <f t="shared" ref="N4:N35" si="5">_xlfn.NUMBERVALUE(SUBSTITUTE(SUBSTITUTE(_xlfn.WEBSERVICE(_xlfn.CONCAT("http://172.31.103.65:5000/symbol/",$C4,"/dividendRate/raw")),".",",",1),"-","0", 1))</f>
        <v>1.04</v>
      </c>
      <c r="O4" s="7">
        <f t="shared" ref="O4:O35" si="6">_xlfn.NUMBERVALUE(SUBSTITUTE(_xlfn.WEBSERVICE(_xlfn.CONCAT("http://172.31.103.65:5000/symbol/",$C4,"/currentPrice/raw")),".",",",1))</f>
        <v>211.27</v>
      </c>
      <c r="P4" s="2">
        <f t="shared" ref="P4:P35" si="7">N4/O4</f>
        <v>4.9226108770767264E-3</v>
      </c>
    </row>
    <row r="5" spans="1:16" x14ac:dyDescent="0.35">
      <c r="A5">
        <v>2</v>
      </c>
      <c r="B5" t="s">
        <v>22</v>
      </c>
      <c r="C5" t="s">
        <v>23</v>
      </c>
      <c r="D5" t="s">
        <v>24</v>
      </c>
      <c r="E5" s="2">
        <f t="shared" ref="E5:E68" si="8">IFERROR(_xlfn.NUMBERVALUE(SUBSTITUTE(_xlfn.WEBSERVICE(_xlfn.CONCAT("http://172.31.103.65:5000/symbol/",$C5,"/annualGrowthRatio/raw")),".",",",1)),"-")</f>
        <v>0.110104669874314</v>
      </c>
      <c r="F5" s="2" t="str">
        <f t="shared" ref="F5:F68" si="9">IFERROR(_xlfn.NUMBERVALUE(SUBSTITUTE(_xlfn.WEBSERVICE(_xlfn.CONCAT("http://172.31.103.65:5000/symbol/",$C5,"/debtToEquityPercentage/raw")),".",",",1))/100,"-")</f>
        <v>-</v>
      </c>
      <c r="G5" s="2">
        <f t="shared" ref="G5:G68" si="10">IFERROR(_xlfn.NUMBERVALUE(SUBSTITUTE(_xlfn.WEBSERVICE(_xlfn.CONCAT("http://172.31.103.65:5000/symbol/",$C5,"/ROE/raw")),".",",",1)),"-")</f>
        <v>1.1196992673684201</v>
      </c>
      <c r="H5" s="4">
        <f t="shared" ref="H5:H68" si="11">IFERROR(_xlfn.NUMBERVALUE(SUBSTITUTE(_xlfn.WEBSERVICE(_xlfn.CONCAT("http://172.31.103.65:5000/symbol/",$C5,"/PERatio/raw")),".",",",1)), "-")</f>
        <v>100.19047500000001</v>
      </c>
      <c r="I5" s="5">
        <f t="shared" si="0"/>
        <v>20.931207004377701</v>
      </c>
      <c r="J5" t="str">
        <f t="shared" si="1"/>
        <v>buy</v>
      </c>
      <c r="K5" s="4">
        <f t="shared" si="2"/>
        <v>7</v>
      </c>
      <c r="L5" s="5">
        <f t="shared" si="3"/>
        <v>9.8613743332287396E-2</v>
      </c>
      <c r="M5" t="str">
        <f t="shared" si="4"/>
        <v>15/07/2025</v>
      </c>
      <c r="N5" s="7">
        <f t="shared" si="5"/>
        <v>6.56</v>
      </c>
      <c r="O5" s="7">
        <f t="shared" si="6"/>
        <v>191.22</v>
      </c>
      <c r="P5" s="2">
        <f t="shared" si="7"/>
        <v>3.4306034933584348E-2</v>
      </c>
    </row>
    <row r="6" spans="1:16" x14ac:dyDescent="0.35">
      <c r="A6">
        <v>3</v>
      </c>
      <c r="B6" t="s">
        <v>22</v>
      </c>
      <c r="C6" t="s">
        <v>25</v>
      </c>
      <c r="D6" t="s">
        <v>26</v>
      </c>
      <c r="E6" s="2">
        <f t="shared" si="8"/>
        <v>0.193692185378598</v>
      </c>
      <c r="F6" s="2">
        <f t="shared" si="9"/>
        <v>0.26501000000000002</v>
      </c>
      <c r="G6" s="2">
        <f t="shared" si="10"/>
        <v>0.29221214098690801</v>
      </c>
      <c r="H6" s="4">
        <f t="shared" si="11"/>
        <v>16.644918000000001</v>
      </c>
      <c r="I6" s="5">
        <f t="shared" si="0"/>
        <v>0.80531538724763296</v>
      </c>
      <c r="J6" t="str">
        <f t="shared" si="1"/>
        <v>buy</v>
      </c>
      <c r="K6" s="4">
        <f t="shared" si="2"/>
        <v>7</v>
      </c>
      <c r="L6" s="5">
        <f t="shared" si="3"/>
        <v>0.11307554097336101</v>
      </c>
      <c r="M6" t="str">
        <f t="shared" si="4"/>
        <v>15/07/2025</v>
      </c>
      <c r="N6" s="7">
        <f t="shared" si="5"/>
        <v>2.36</v>
      </c>
      <c r="O6" s="7">
        <f t="shared" si="6"/>
        <v>128.01</v>
      </c>
      <c r="P6" s="2">
        <f t="shared" si="7"/>
        <v>1.8436059682837277E-2</v>
      </c>
    </row>
    <row r="7" spans="1:16" x14ac:dyDescent="0.35">
      <c r="A7">
        <v>4</v>
      </c>
      <c r="B7" t="s">
        <v>19</v>
      </c>
      <c r="C7" t="s">
        <v>27</v>
      </c>
      <c r="D7" t="s">
        <v>28</v>
      </c>
      <c r="E7" s="2">
        <f t="shared" si="8"/>
        <v>-0.22574967348359501</v>
      </c>
      <c r="F7" s="2">
        <f t="shared" si="9"/>
        <v>0.25880999999999998</v>
      </c>
      <c r="G7" s="2">
        <f t="shared" si="10"/>
        <v>0.28098802664503603</v>
      </c>
      <c r="H7" s="4">
        <f t="shared" si="11"/>
        <v>20.665341999999999</v>
      </c>
      <c r="I7" s="5">
        <f t="shared" si="0"/>
        <v>0.41503664148394798</v>
      </c>
      <c r="J7" t="str">
        <f t="shared" si="1"/>
        <v>buy</v>
      </c>
      <c r="K7" s="4">
        <f t="shared" si="2"/>
        <v>2</v>
      </c>
      <c r="L7" s="5">
        <f t="shared" si="3"/>
        <v>0.19910806740767301</v>
      </c>
      <c r="M7" t="str">
        <f t="shared" si="4"/>
        <v>10/07/2025</v>
      </c>
      <c r="N7" s="7">
        <f t="shared" si="5"/>
        <v>5.92</v>
      </c>
      <c r="O7" s="7">
        <f t="shared" si="6"/>
        <v>278.89999999999998</v>
      </c>
      <c r="P7" s="2">
        <f t="shared" si="7"/>
        <v>2.1226245966296166E-2</v>
      </c>
    </row>
    <row r="8" spans="1:16" x14ac:dyDescent="0.35">
      <c r="A8">
        <v>5</v>
      </c>
      <c r="B8" t="s">
        <v>19</v>
      </c>
      <c r="C8" t="s">
        <v>29</v>
      </c>
      <c r="D8" t="s">
        <v>30</v>
      </c>
      <c r="E8" s="2">
        <f t="shared" si="8"/>
        <v>-0.37901496026036402</v>
      </c>
      <c r="F8" s="2">
        <f t="shared" si="9"/>
        <v>0.57485999999999993</v>
      </c>
      <c r="G8" s="2">
        <f t="shared" si="10"/>
        <v>0.48699044253810703</v>
      </c>
      <c r="H8" s="4">
        <f t="shared" si="11"/>
        <v>22.836110000000001</v>
      </c>
      <c r="I8" s="5">
        <f t="shared" si="0"/>
        <v>0.30676201571987699</v>
      </c>
      <c r="J8" t="str">
        <f t="shared" si="1"/>
        <v>buy</v>
      </c>
      <c r="K8" s="4">
        <f t="shared" si="2"/>
        <v>2</v>
      </c>
      <c r="L8" s="5">
        <f t="shared" si="3"/>
        <v>0.29645454545454503</v>
      </c>
      <c r="M8" t="str">
        <f t="shared" si="4"/>
        <v>24/03/2005</v>
      </c>
      <c r="N8" s="7">
        <f t="shared" si="5"/>
        <v>0</v>
      </c>
      <c r="O8" s="7">
        <f t="shared" si="6"/>
        <v>370.7</v>
      </c>
      <c r="P8" s="2">
        <f t="shared" si="7"/>
        <v>0</v>
      </c>
    </row>
    <row r="9" spans="1:16" x14ac:dyDescent="0.35">
      <c r="A9">
        <v>6</v>
      </c>
      <c r="B9" t="s">
        <v>31</v>
      </c>
      <c r="C9" t="s">
        <v>32</v>
      </c>
      <c r="D9" t="s">
        <v>33</v>
      </c>
      <c r="E9" s="2">
        <f t="shared" si="8"/>
        <v>7.78947368421051E-2</v>
      </c>
      <c r="F9" s="2">
        <f t="shared" si="9"/>
        <v>0.22292999999999999</v>
      </c>
      <c r="G9" s="2">
        <f t="shared" si="10"/>
        <v>7.6879657957244593E-2</v>
      </c>
      <c r="H9" s="4">
        <f t="shared" si="11"/>
        <v>15.2</v>
      </c>
      <c r="I9" s="5">
        <f t="shared" si="0"/>
        <v>1.33130431132194</v>
      </c>
      <c r="J9" t="str">
        <f t="shared" si="1"/>
        <v>buy</v>
      </c>
      <c r="K9" s="4">
        <f t="shared" si="2"/>
        <v>9</v>
      </c>
      <c r="L9" s="5">
        <f t="shared" si="3"/>
        <v>0.14435504308160099</v>
      </c>
      <c r="M9" t="str">
        <f t="shared" si="4"/>
        <v>13/06/2025</v>
      </c>
      <c r="N9" s="7">
        <f t="shared" si="5"/>
        <v>1.8</v>
      </c>
      <c r="O9" s="7">
        <f t="shared" si="6"/>
        <v>78.92</v>
      </c>
      <c r="P9" s="2">
        <f t="shared" si="7"/>
        <v>2.280790674100355E-2</v>
      </c>
    </row>
    <row r="10" spans="1:16" x14ac:dyDescent="0.35">
      <c r="A10">
        <v>7</v>
      </c>
      <c r="B10" t="s">
        <v>19</v>
      </c>
      <c r="C10" t="s">
        <v>34</v>
      </c>
      <c r="D10" t="s">
        <v>35</v>
      </c>
      <c r="E10" s="2">
        <f t="shared" si="8"/>
        <v>9.4709226390885401E-2</v>
      </c>
      <c r="F10" s="2">
        <f t="shared" si="9"/>
        <v>6.5129999999999993E-2</v>
      </c>
      <c r="G10" s="2">
        <f t="shared" si="10"/>
        <v>4.7422176764869303E-2</v>
      </c>
      <c r="H10" s="4">
        <f t="shared" si="11"/>
        <v>96.803569999999993</v>
      </c>
      <c r="I10" s="5">
        <f t="shared" si="0"/>
        <v>0.87768604384249405</v>
      </c>
      <c r="J10" t="str">
        <f t="shared" si="1"/>
        <v>buy</v>
      </c>
      <c r="K10" s="4">
        <f t="shared" si="2"/>
        <v>6</v>
      </c>
      <c r="L10" s="5">
        <f t="shared" si="3"/>
        <v>-0.14821911632100901</v>
      </c>
      <c r="M10" t="str">
        <f t="shared" si="4"/>
        <v>27/04/1995</v>
      </c>
      <c r="N10" s="7">
        <f t="shared" si="5"/>
        <v>0</v>
      </c>
      <c r="O10" s="7">
        <f t="shared" si="6"/>
        <v>177.44</v>
      </c>
      <c r="P10" s="2">
        <f t="shared" si="7"/>
        <v>0</v>
      </c>
    </row>
    <row r="11" spans="1:16" x14ac:dyDescent="0.35">
      <c r="A11">
        <v>8</v>
      </c>
      <c r="B11" t="s">
        <v>22</v>
      </c>
      <c r="C11" t="s">
        <v>36</v>
      </c>
      <c r="D11" t="s">
        <v>37</v>
      </c>
      <c r="E11" s="2">
        <f t="shared" si="8"/>
        <v>-0.109336909710275</v>
      </c>
      <c r="F11" s="2">
        <f t="shared" si="9"/>
        <v>7.5665099999999992</v>
      </c>
      <c r="G11" s="2">
        <f t="shared" si="10"/>
        <v>1.1262548592819399</v>
      </c>
      <c r="H11" s="4">
        <f t="shared" si="11"/>
        <v>23.524939</v>
      </c>
      <c r="I11" s="5">
        <f t="shared" si="0"/>
        <v>-2.2555096788031501</v>
      </c>
      <c r="J11" t="str">
        <f t="shared" si="1"/>
        <v>buy</v>
      </c>
      <c r="K11" s="4">
        <f t="shared" si="2"/>
        <v>3</v>
      </c>
      <c r="L11" s="5">
        <f t="shared" si="3"/>
        <v>3.2683752800105298E-2</v>
      </c>
      <c r="M11" t="str">
        <f t="shared" si="4"/>
        <v>16/05/2025</v>
      </c>
      <c r="N11" s="7">
        <f t="shared" si="5"/>
        <v>9.52</v>
      </c>
      <c r="O11" s="7">
        <f t="shared" si="6"/>
        <v>303.56</v>
      </c>
      <c r="P11" s="2">
        <f t="shared" si="7"/>
        <v>3.1361180656212941E-2</v>
      </c>
    </row>
    <row r="12" spans="1:16" x14ac:dyDescent="0.35">
      <c r="A12">
        <v>9</v>
      </c>
      <c r="B12" t="s">
        <v>4</v>
      </c>
      <c r="C12" t="s">
        <v>38</v>
      </c>
      <c r="D12" t="s">
        <v>39</v>
      </c>
      <c r="E12" s="2">
        <f t="shared" si="8"/>
        <v>-6.0495094916657402E-2</v>
      </c>
      <c r="F12" s="2">
        <f t="shared" si="9"/>
        <v>4.3146899999999997</v>
      </c>
      <c r="G12" s="2">
        <f t="shared" si="10"/>
        <v>0.73954821358878797</v>
      </c>
      <c r="H12" s="4">
        <f t="shared" si="11"/>
        <v>38.174156000000004</v>
      </c>
      <c r="I12" s="5">
        <f t="shared" si="0"/>
        <v>1.4047443556155399</v>
      </c>
      <c r="J12" t="str">
        <f t="shared" si="1"/>
        <v>buy</v>
      </c>
      <c r="K12" s="4">
        <f t="shared" si="2"/>
        <v>1</v>
      </c>
      <c r="L12" s="5">
        <f t="shared" si="3"/>
        <v>0.164361231428438</v>
      </c>
      <c r="M12" t="str">
        <f t="shared" si="4"/>
        <v>13/06/2025</v>
      </c>
      <c r="N12" s="7">
        <f t="shared" si="5"/>
        <v>6.8</v>
      </c>
      <c r="O12" s="7">
        <f t="shared" si="6"/>
        <v>214.71</v>
      </c>
      <c r="P12" s="2">
        <f t="shared" si="7"/>
        <v>3.167062549485352E-2</v>
      </c>
    </row>
    <row r="13" spans="1:16" x14ac:dyDescent="0.35">
      <c r="A13">
        <v>10</v>
      </c>
      <c r="B13" t="s">
        <v>40</v>
      </c>
      <c r="C13" t="s">
        <v>41</v>
      </c>
      <c r="D13" t="s">
        <v>42</v>
      </c>
      <c r="E13" s="2">
        <f t="shared" si="8"/>
        <v>0.28291316526610599</v>
      </c>
      <c r="F13" s="2">
        <f t="shared" si="9"/>
        <v>0.47808</v>
      </c>
      <c r="G13" s="2">
        <f t="shared" si="10"/>
        <v>0.24695948044899799</v>
      </c>
      <c r="H13" s="4">
        <f t="shared" si="11"/>
        <v>34.961829999999999</v>
      </c>
      <c r="I13" s="5">
        <f t="shared" si="0"/>
        <v>0.71736191402546001</v>
      </c>
      <c r="J13" t="str">
        <f t="shared" si="1"/>
        <v>strong_buy</v>
      </c>
      <c r="K13" s="4">
        <f t="shared" si="2"/>
        <v>9</v>
      </c>
      <c r="L13" s="5">
        <f t="shared" si="3"/>
        <v>8.9968659365395401E-2</v>
      </c>
      <c r="M13" t="str">
        <f t="shared" si="4"/>
        <v>-</v>
      </c>
      <c r="N13" s="7">
        <f t="shared" si="5"/>
        <v>0</v>
      </c>
      <c r="O13" s="7">
        <f t="shared" si="6"/>
        <v>231.01</v>
      </c>
      <c r="P13" s="2">
        <f t="shared" si="7"/>
        <v>0</v>
      </c>
    </row>
    <row r="14" spans="1:16" x14ac:dyDescent="0.35">
      <c r="A14">
        <v>11</v>
      </c>
      <c r="B14" t="s">
        <v>19</v>
      </c>
      <c r="C14" t="s">
        <v>43</v>
      </c>
      <c r="D14" t="s">
        <v>44</v>
      </c>
      <c r="E14" s="2">
        <f t="shared" si="8"/>
        <v>0.84731058284578098</v>
      </c>
      <c r="F14" s="2">
        <f t="shared" si="9"/>
        <v>1.66032</v>
      </c>
      <c r="G14" s="2">
        <f t="shared" si="10"/>
        <v>0.19564703354117999</v>
      </c>
      <c r="H14" s="4">
        <f t="shared" si="11"/>
        <v>108.5365</v>
      </c>
      <c r="I14" s="5">
        <f t="shared" si="0"/>
        <v>0.71783871781784603</v>
      </c>
      <c r="J14" t="str">
        <f t="shared" si="1"/>
        <v>strong_buy</v>
      </c>
      <c r="K14" s="4">
        <f t="shared" si="2"/>
        <v>2</v>
      </c>
      <c r="L14" s="5">
        <f t="shared" si="3"/>
        <v>-1.3311545961939401E-2</v>
      </c>
      <c r="M14" t="str">
        <f t="shared" si="4"/>
        <v>20/06/2025</v>
      </c>
      <c r="N14" s="7">
        <f t="shared" si="5"/>
        <v>2.36</v>
      </c>
      <c r="O14" s="7">
        <f t="shared" si="6"/>
        <v>297.42</v>
      </c>
      <c r="P14" s="2">
        <f t="shared" si="7"/>
        <v>7.9349068657117872E-3</v>
      </c>
    </row>
    <row r="15" spans="1:16" x14ac:dyDescent="0.35">
      <c r="A15">
        <v>12</v>
      </c>
      <c r="B15" t="s">
        <v>31</v>
      </c>
      <c r="C15" t="s">
        <v>45</v>
      </c>
      <c r="D15" t="s">
        <v>46</v>
      </c>
      <c r="E15" s="2">
        <f t="shared" si="8"/>
        <v>0.29470386289384998</v>
      </c>
      <c r="F15" s="2">
        <f t="shared" si="9"/>
        <v>1.8793299999999999</v>
      </c>
      <c r="G15" s="2">
        <f t="shared" si="10"/>
        <v>0.33098732646048101</v>
      </c>
      <c r="H15" s="4">
        <f t="shared" si="11"/>
        <v>23.247719</v>
      </c>
      <c r="I15" s="5">
        <f t="shared" si="0"/>
        <v>-3.2514433742576401</v>
      </c>
      <c r="J15" t="str">
        <f t="shared" si="1"/>
        <v>buy</v>
      </c>
      <c r="K15" s="4">
        <f t="shared" si="2"/>
        <v>3</v>
      </c>
      <c r="L15" s="5">
        <f t="shared" si="3"/>
        <v>4.4713813443961803E-2</v>
      </c>
      <c r="M15" t="str">
        <f t="shared" si="4"/>
        <v>03/07/2025</v>
      </c>
      <c r="N15" s="7">
        <f t="shared" si="5"/>
        <v>3.28</v>
      </c>
      <c r="O15" s="7">
        <f t="shared" si="6"/>
        <v>308.54000000000002</v>
      </c>
      <c r="P15" s="2">
        <f t="shared" si="7"/>
        <v>1.0630712387372787E-2</v>
      </c>
    </row>
    <row r="16" spans="1:16" x14ac:dyDescent="0.35">
      <c r="A16">
        <v>13</v>
      </c>
      <c r="B16" t="s">
        <v>47</v>
      </c>
      <c r="C16" t="s">
        <v>48</v>
      </c>
      <c r="D16" t="s">
        <v>49</v>
      </c>
      <c r="E16" s="2">
        <f t="shared" si="8"/>
        <v>0.35075395752323502</v>
      </c>
      <c r="F16" s="2" t="str">
        <f t="shared" si="9"/>
        <v>-</v>
      </c>
      <c r="G16" s="2">
        <f t="shared" si="10"/>
        <v>2.7924770849539402</v>
      </c>
      <c r="H16" s="4" t="str">
        <f t="shared" si="11"/>
        <v>-</v>
      </c>
      <c r="I16" s="5">
        <f t="shared" si="0"/>
        <v>2.4801139153491101</v>
      </c>
      <c r="J16" t="str">
        <f t="shared" si="1"/>
        <v>buy</v>
      </c>
      <c r="K16" s="4">
        <f t="shared" si="2"/>
        <v>8</v>
      </c>
      <c r="L16" s="5">
        <f t="shared" si="3"/>
        <v>6.2917330148619902E-2</v>
      </c>
      <c r="M16" t="str">
        <f t="shared" si="4"/>
        <v>13/02/2020</v>
      </c>
      <c r="N16" s="7">
        <f t="shared" si="5"/>
        <v>0</v>
      </c>
      <c r="O16" s="7">
        <f t="shared" si="6"/>
        <v>226.08</v>
      </c>
      <c r="P16" s="2">
        <f t="shared" si="7"/>
        <v>0</v>
      </c>
    </row>
    <row r="17" spans="1:16" x14ac:dyDescent="0.35">
      <c r="A17">
        <v>14</v>
      </c>
      <c r="B17" t="s">
        <v>31</v>
      </c>
      <c r="C17" t="s">
        <v>50</v>
      </c>
      <c r="D17" t="s">
        <v>51</v>
      </c>
      <c r="E17" s="2">
        <f t="shared" si="8"/>
        <v>0.27566938711663902</v>
      </c>
      <c r="F17" s="2" t="str">
        <f t="shared" si="9"/>
        <v>-</v>
      </c>
      <c r="G17" s="2">
        <f t="shared" si="10"/>
        <v>8.9978653656291901E-2</v>
      </c>
      <c r="H17" s="4">
        <f t="shared" si="11"/>
        <v>14.8797655</v>
      </c>
      <c r="I17" s="5">
        <f t="shared" si="0"/>
        <v>0.38595704900818201</v>
      </c>
      <c r="J17" t="str">
        <f t="shared" si="1"/>
        <v>buy</v>
      </c>
      <c r="K17" s="4">
        <f t="shared" si="2"/>
        <v>8</v>
      </c>
      <c r="L17" s="5">
        <f t="shared" si="3"/>
        <v>9.9877580813347203E-2</v>
      </c>
      <c r="M17" t="str">
        <f t="shared" si="4"/>
        <v>05/09/2025</v>
      </c>
      <c r="N17" s="7">
        <f t="shared" si="5"/>
        <v>1.1200000000000001</v>
      </c>
      <c r="O17" s="7">
        <f t="shared" si="6"/>
        <v>47.95</v>
      </c>
      <c r="P17" s="2">
        <f t="shared" si="7"/>
        <v>2.3357664233576644E-2</v>
      </c>
    </row>
    <row r="18" spans="1:16" x14ac:dyDescent="0.35">
      <c r="A18">
        <v>15</v>
      </c>
      <c r="B18" t="s">
        <v>31</v>
      </c>
      <c r="C18" t="s">
        <v>52</v>
      </c>
      <c r="D18" t="s">
        <v>53</v>
      </c>
      <c r="E18" s="2">
        <f t="shared" si="8"/>
        <v>0.58416032323217504</v>
      </c>
      <c r="F18" s="2" t="str">
        <f t="shared" si="9"/>
        <v>-</v>
      </c>
      <c r="G18" s="2">
        <f t="shared" si="10"/>
        <v>0.11568808403117201</v>
      </c>
      <c r="H18" s="4">
        <f t="shared" si="11"/>
        <v>16.146789999999999</v>
      </c>
      <c r="I18" s="5">
        <f t="shared" si="0"/>
        <v>0.75077675840978597</v>
      </c>
      <c r="J18" t="str">
        <f t="shared" si="1"/>
        <v>buy</v>
      </c>
      <c r="K18" s="4">
        <f t="shared" si="2"/>
        <v>1</v>
      </c>
      <c r="L18" s="5">
        <f t="shared" si="3"/>
        <v>-1.48508883871601E-2</v>
      </c>
      <c r="M18" t="str">
        <f t="shared" si="4"/>
        <v>25/07/2025</v>
      </c>
      <c r="N18" s="7">
        <f t="shared" si="5"/>
        <v>2.12</v>
      </c>
      <c r="O18" s="7">
        <f t="shared" si="6"/>
        <v>101.87</v>
      </c>
      <c r="P18" s="2">
        <f t="shared" si="7"/>
        <v>2.0810837341710024E-2</v>
      </c>
    </row>
    <row r="19" spans="1:16" x14ac:dyDescent="0.35">
      <c r="A19">
        <v>16</v>
      </c>
      <c r="B19" t="s">
        <v>40</v>
      </c>
      <c r="C19" t="s">
        <v>54</v>
      </c>
      <c r="D19" t="s">
        <v>55</v>
      </c>
      <c r="E19" s="2">
        <f t="shared" si="8"/>
        <v>0.443398160150627</v>
      </c>
      <c r="F19" s="2" t="str">
        <f t="shared" si="9"/>
        <v>-</v>
      </c>
      <c r="G19" s="2">
        <f t="shared" si="10"/>
        <v>-1.19726372935323</v>
      </c>
      <c r="H19" s="4">
        <f t="shared" si="11"/>
        <v>39.061320000000002</v>
      </c>
      <c r="I19" s="5">
        <f t="shared" si="0"/>
        <v>1.34395827296435</v>
      </c>
      <c r="J19" t="str">
        <f t="shared" si="1"/>
        <v>buy</v>
      </c>
      <c r="K19" s="4">
        <f t="shared" si="2"/>
        <v>1</v>
      </c>
      <c r="L19" s="5">
        <f t="shared" si="3"/>
        <v>4.8603322976978003E-2</v>
      </c>
      <c r="M19" t="str">
        <f t="shared" si="4"/>
        <v>06/06/2025</v>
      </c>
      <c r="N19" s="7">
        <f t="shared" si="5"/>
        <v>38.4</v>
      </c>
      <c r="O19" s="7">
        <f t="shared" si="6"/>
        <v>5590.77</v>
      </c>
      <c r="P19" s="2">
        <f t="shared" si="7"/>
        <v>6.8684635568982437E-3</v>
      </c>
    </row>
    <row r="20" spans="1:16" x14ac:dyDescent="0.35">
      <c r="A20">
        <v>17</v>
      </c>
      <c r="B20" t="s">
        <v>31</v>
      </c>
      <c r="C20" t="s">
        <v>56</v>
      </c>
      <c r="D20" t="s">
        <v>57</v>
      </c>
      <c r="E20" s="2">
        <f t="shared" si="8"/>
        <v>0.27711141834895903</v>
      </c>
      <c r="F20" s="2">
        <f t="shared" si="9"/>
        <v>0.28506999999999999</v>
      </c>
      <c r="G20" s="2">
        <f t="shared" si="10"/>
        <v>0.13483524042530701</v>
      </c>
      <c r="H20" s="4">
        <f t="shared" si="11"/>
        <v>27.245348</v>
      </c>
      <c r="I20" s="5">
        <f t="shared" si="0"/>
        <v>-1.1693036750483501</v>
      </c>
      <c r="J20" t="str">
        <f t="shared" si="1"/>
        <v>buy</v>
      </c>
      <c r="K20" s="4">
        <f t="shared" si="2"/>
        <v>3</v>
      </c>
      <c r="L20" s="5">
        <f t="shared" si="3"/>
        <v>3.9523864720515597E-2</v>
      </c>
      <c r="M20" t="str">
        <f t="shared" si="4"/>
        <v>05/09/2025</v>
      </c>
      <c r="N20" s="7">
        <f t="shared" si="5"/>
        <v>20.84</v>
      </c>
      <c r="O20" s="7">
        <f t="shared" si="6"/>
        <v>1121.53</v>
      </c>
      <c r="P20" s="2">
        <f t="shared" si="7"/>
        <v>1.8581758847288972E-2</v>
      </c>
    </row>
    <row r="21" spans="1:16" x14ac:dyDescent="0.35">
      <c r="A21">
        <v>18</v>
      </c>
      <c r="B21" t="s">
        <v>22</v>
      </c>
      <c r="C21" t="s">
        <v>58</v>
      </c>
      <c r="D21" t="s">
        <v>59</v>
      </c>
      <c r="E21" s="2">
        <f t="shared" si="8"/>
        <v>-1.09989259926491E-2</v>
      </c>
      <c r="F21" s="2">
        <f t="shared" si="9"/>
        <v>2.9154899999999997</v>
      </c>
      <c r="G21" s="2">
        <f t="shared" si="10"/>
        <v>0.30909090517294102</v>
      </c>
      <c r="H21" s="4">
        <f t="shared" si="11"/>
        <v>18.947792</v>
      </c>
      <c r="I21" s="5">
        <f t="shared" si="0"/>
        <v>-1.0570676031606601</v>
      </c>
      <c r="J21" t="str">
        <f t="shared" si="1"/>
        <v>hold</v>
      </c>
      <c r="K21" s="4">
        <f t="shared" si="2"/>
        <v>2</v>
      </c>
      <c r="L21" s="5">
        <f t="shared" si="3"/>
        <v>0.19403286384976501</v>
      </c>
      <c r="M21" t="str">
        <f t="shared" si="4"/>
        <v>03/07/2025</v>
      </c>
      <c r="N21" s="7">
        <f t="shared" si="5"/>
        <v>2.48</v>
      </c>
      <c r="O21" s="7">
        <f t="shared" si="6"/>
        <v>46.86</v>
      </c>
      <c r="P21" s="2">
        <f t="shared" si="7"/>
        <v>5.2923602219376871E-2</v>
      </c>
    </row>
    <row r="22" spans="1:16" x14ac:dyDescent="0.35">
      <c r="A22">
        <v>19</v>
      </c>
      <c r="B22" t="s">
        <v>31</v>
      </c>
      <c r="C22" t="s">
        <v>228</v>
      </c>
      <c r="D22" t="s">
        <v>60</v>
      </c>
      <c r="E22" s="2">
        <f t="shared" si="8"/>
        <v>5.68582656933685E-2</v>
      </c>
      <c r="F22" s="2">
        <f t="shared" si="9"/>
        <v>0.1895</v>
      </c>
      <c r="G22" s="2">
        <f t="shared" si="10"/>
        <v>9.6891132054551493E-2</v>
      </c>
      <c r="H22" s="4">
        <f t="shared" si="11"/>
        <v>17.24306</v>
      </c>
      <c r="I22" s="5">
        <f t="shared" si="0"/>
        <v>1.10682500031382</v>
      </c>
      <c r="J22" t="str">
        <f t="shared" si="1"/>
        <v>buy</v>
      </c>
      <c r="K22" s="4">
        <f t="shared" si="2"/>
        <v>10</v>
      </c>
      <c r="L22" s="5">
        <f t="shared" si="3"/>
        <v>9.6049395668960896E-2</v>
      </c>
      <c r="M22" t="str">
        <f t="shared" si="4"/>
        <v>-</v>
      </c>
      <c r="N22" s="7">
        <f t="shared" si="5"/>
        <v>0</v>
      </c>
      <c r="O22" s="7">
        <f t="shared" si="6"/>
        <v>476.56</v>
      </c>
      <c r="P22" s="2">
        <f t="shared" si="7"/>
        <v>0</v>
      </c>
    </row>
    <row r="23" spans="1:16" x14ac:dyDescent="0.35">
      <c r="A23">
        <v>20</v>
      </c>
      <c r="B23" t="s">
        <v>31</v>
      </c>
      <c r="C23" t="s">
        <v>61</v>
      </c>
      <c r="D23" t="s">
        <v>62</v>
      </c>
      <c r="E23" s="2">
        <f t="shared" si="8"/>
        <v>0.58901389009980798</v>
      </c>
      <c r="F23" s="2" t="str">
        <f t="shared" si="9"/>
        <v>-</v>
      </c>
      <c r="G23" s="2">
        <f t="shared" si="10"/>
        <v>6.1860609823679899E-2</v>
      </c>
      <c r="H23" s="4">
        <f t="shared" si="11"/>
        <v>14.264400999999999</v>
      </c>
      <c r="I23" s="5">
        <f t="shared" si="0"/>
        <v>0.78693607856844805</v>
      </c>
      <c r="J23" t="str">
        <f t="shared" si="1"/>
        <v>buy</v>
      </c>
      <c r="K23" s="4">
        <f t="shared" si="2"/>
        <v>2</v>
      </c>
      <c r="L23" s="5">
        <f t="shared" si="3"/>
        <v>5.2628916172734901E-2</v>
      </c>
      <c r="M23" t="str">
        <f t="shared" si="4"/>
        <v>04/08/2025</v>
      </c>
      <c r="N23" s="7">
        <f t="shared" si="5"/>
        <v>2.4</v>
      </c>
      <c r="O23" s="7">
        <f t="shared" si="6"/>
        <v>94.48</v>
      </c>
      <c r="P23" s="2">
        <f t="shared" si="7"/>
        <v>2.5402201524132091E-2</v>
      </c>
    </row>
    <row r="24" spans="1:16" x14ac:dyDescent="0.35">
      <c r="A24">
        <v>21</v>
      </c>
      <c r="B24" t="s">
        <v>47</v>
      </c>
      <c r="C24" t="s">
        <v>63</v>
      </c>
      <c r="D24" t="s">
        <v>64</v>
      </c>
      <c r="E24" s="2">
        <f t="shared" si="8"/>
        <v>0.195375610306461</v>
      </c>
      <c r="F24" s="2">
        <f t="shared" si="9"/>
        <v>2.18336</v>
      </c>
      <c r="G24" s="2">
        <f t="shared" si="10"/>
        <v>0.48417216561489901</v>
      </c>
      <c r="H24" s="4">
        <f t="shared" si="11"/>
        <v>21.325191</v>
      </c>
      <c r="I24" s="5">
        <f t="shared" si="0"/>
        <v>1.46060664481717</v>
      </c>
      <c r="J24" t="str">
        <f t="shared" si="1"/>
        <v>buy</v>
      </c>
      <c r="K24" s="4">
        <f t="shared" si="2"/>
        <v>4</v>
      </c>
      <c r="L24" s="5">
        <f t="shared" si="3"/>
        <v>-6.2597372398558296E-2</v>
      </c>
      <c r="M24" t="str">
        <f t="shared" si="4"/>
        <v>21/07/2025</v>
      </c>
      <c r="N24" s="7">
        <f t="shared" si="5"/>
        <v>6.04</v>
      </c>
      <c r="O24" s="7">
        <f t="shared" si="6"/>
        <v>430.05</v>
      </c>
      <c r="P24" s="2">
        <f t="shared" si="7"/>
        <v>1.4044878502499709E-2</v>
      </c>
    </row>
    <row r="25" spans="1:16" x14ac:dyDescent="0.35">
      <c r="A25">
        <v>22</v>
      </c>
      <c r="B25" t="s">
        <v>65</v>
      </c>
      <c r="C25" t="s">
        <v>66</v>
      </c>
      <c r="D25" t="s">
        <v>67</v>
      </c>
      <c r="E25" s="2">
        <f t="shared" si="8"/>
        <v>-0.23582898811584699</v>
      </c>
      <c r="F25" s="2">
        <f t="shared" si="9"/>
        <v>4.7271700000000001</v>
      </c>
      <c r="G25" s="2">
        <f t="shared" si="10"/>
        <v>0.337717328543016</v>
      </c>
      <c r="H25" s="4">
        <f t="shared" si="11"/>
        <v>7.2721790000000004</v>
      </c>
      <c r="I25" s="5">
        <f t="shared" si="0"/>
        <v>0.68901032421903496</v>
      </c>
      <c r="J25" t="str">
        <f t="shared" si="1"/>
        <v>buy</v>
      </c>
      <c r="K25" s="4">
        <f t="shared" si="2"/>
        <v>9</v>
      </c>
      <c r="L25" s="5">
        <f t="shared" si="3"/>
        <v>0.454737779677925</v>
      </c>
      <c r="M25" t="str">
        <f t="shared" si="4"/>
        <v>-</v>
      </c>
      <c r="N25" s="7">
        <f t="shared" si="5"/>
        <v>0</v>
      </c>
      <c r="O25" s="7">
        <f t="shared" si="6"/>
        <v>280.68</v>
      </c>
      <c r="P25" s="2">
        <f t="shared" si="7"/>
        <v>0</v>
      </c>
    </row>
    <row r="26" spans="1:16" x14ac:dyDescent="0.35">
      <c r="A26">
        <v>23</v>
      </c>
      <c r="B26" t="s">
        <v>68</v>
      </c>
      <c r="C26" t="s">
        <v>69</v>
      </c>
      <c r="D26" t="s">
        <v>70</v>
      </c>
      <c r="E26" s="2">
        <f t="shared" si="8"/>
        <v>-0.192893457574002</v>
      </c>
      <c r="F26" s="2">
        <f t="shared" si="9"/>
        <v>8.3250999999999991</v>
      </c>
      <c r="G26" s="2">
        <f t="shared" si="10"/>
        <v>13.7169811320754</v>
      </c>
      <c r="H26" s="4">
        <f t="shared" si="11"/>
        <v>23.615169999999999</v>
      </c>
      <c r="I26" s="5">
        <f t="shared" si="0"/>
        <v>-0.85009265373064302</v>
      </c>
      <c r="J26" t="str">
        <f t="shared" si="1"/>
        <v>buy</v>
      </c>
      <c r="K26" s="4">
        <f t="shared" si="2"/>
        <v>1</v>
      </c>
      <c r="L26" s="5">
        <f t="shared" si="3"/>
        <v>0.13431176606032599</v>
      </c>
      <c r="M26" t="str">
        <f t="shared" si="4"/>
        <v>18/07/2025</v>
      </c>
      <c r="N26" s="7">
        <f t="shared" si="5"/>
        <v>2.08</v>
      </c>
      <c r="O26" s="7">
        <f t="shared" si="6"/>
        <v>86.86</v>
      </c>
      <c r="P26" s="2">
        <f t="shared" si="7"/>
        <v>2.3946580704582086E-2</v>
      </c>
    </row>
    <row r="27" spans="1:16" x14ac:dyDescent="0.35">
      <c r="A27">
        <v>24</v>
      </c>
      <c r="B27" t="s">
        <v>65</v>
      </c>
      <c r="C27" t="s">
        <v>71</v>
      </c>
      <c r="D27" t="s">
        <v>72</v>
      </c>
      <c r="E27" s="2">
        <f t="shared" si="8"/>
        <v>-0.11184263323709399</v>
      </c>
      <c r="F27" s="2">
        <f t="shared" si="9"/>
        <v>1.04176</v>
      </c>
      <c r="G27" s="2">
        <f t="shared" si="10"/>
        <v>0.26770687162225298</v>
      </c>
      <c r="H27" s="4">
        <f t="shared" si="11"/>
        <v>5.6334989999999996</v>
      </c>
      <c r="I27" s="5">
        <f t="shared" si="0"/>
        <v>2.0235704932343901</v>
      </c>
      <c r="J27" t="str">
        <f t="shared" si="1"/>
        <v>buy</v>
      </c>
      <c r="K27" s="4">
        <f t="shared" si="2"/>
        <v>10</v>
      </c>
      <c r="L27" s="5">
        <f t="shared" si="3"/>
        <v>0.21805939689308501</v>
      </c>
      <c r="M27" t="str">
        <f t="shared" si="4"/>
        <v>02/07/2025</v>
      </c>
      <c r="N27" s="7">
        <f t="shared" si="5"/>
        <v>1.32</v>
      </c>
      <c r="O27" s="7">
        <f t="shared" si="6"/>
        <v>32.83</v>
      </c>
      <c r="P27" s="2">
        <f t="shared" si="7"/>
        <v>4.0207127627170276E-2</v>
      </c>
    </row>
    <row r="28" spans="1:16" x14ac:dyDescent="0.35">
      <c r="A28">
        <v>25</v>
      </c>
      <c r="B28" t="s">
        <v>31</v>
      </c>
      <c r="C28" t="s">
        <v>73</v>
      </c>
      <c r="D28" t="s">
        <v>74</v>
      </c>
      <c r="E28" s="2">
        <f t="shared" si="8"/>
        <v>0.56530210694845495</v>
      </c>
      <c r="F28" s="2" t="str">
        <f t="shared" si="9"/>
        <v>-</v>
      </c>
      <c r="G28" s="2">
        <f t="shared" si="10"/>
        <v>-4.4913135035535602E-3</v>
      </c>
      <c r="H28" s="4">
        <f t="shared" si="11"/>
        <v>631.16660000000002</v>
      </c>
      <c r="I28" s="5">
        <f t="shared" si="0"/>
        <v>-68.875816993463999</v>
      </c>
      <c r="J28" t="str">
        <f t="shared" si="1"/>
        <v>buy</v>
      </c>
      <c r="K28" s="4">
        <f t="shared" si="2"/>
        <v>5</v>
      </c>
      <c r="L28" s="5">
        <f t="shared" si="3"/>
        <v>0.17248152651763099</v>
      </c>
      <c r="M28" t="str">
        <f t="shared" si="4"/>
        <v>23/05/2025</v>
      </c>
      <c r="N28" s="7">
        <f t="shared" si="5"/>
        <v>2.4</v>
      </c>
      <c r="O28" s="7">
        <f t="shared" si="6"/>
        <v>213.82</v>
      </c>
      <c r="P28" s="2">
        <f t="shared" si="7"/>
        <v>1.1224394350388177E-2</v>
      </c>
    </row>
    <row r="29" spans="1:16" x14ac:dyDescent="0.35">
      <c r="A29">
        <v>26</v>
      </c>
      <c r="B29" t="s">
        <v>75</v>
      </c>
      <c r="C29" t="s">
        <v>76</v>
      </c>
      <c r="D29" t="s">
        <v>77</v>
      </c>
      <c r="E29" s="2">
        <f t="shared" si="8"/>
        <v>-0.102194321056471</v>
      </c>
      <c r="F29" s="2">
        <f t="shared" si="9"/>
        <v>0.35883000000000004</v>
      </c>
      <c r="G29" s="2">
        <f t="shared" si="10"/>
        <v>0.141305014877461</v>
      </c>
      <c r="H29" s="4">
        <f t="shared" si="11"/>
        <v>13.266756000000001</v>
      </c>
      <c r="I29" s="5">
        <f t="shared" si="0"/>
        <v>0.21889821523941599</v>
      </c>
      <c r="J29" t="str">
        <f t="shared" si="1"/>
        <v>buy</v>
      </c>
      <c r="K29" s="4">
        <f t="shared" si="2"/>
        <v>6</v>
      </c>
      <c r="L29" s="5">
        <f t="shared" si="3"/>
        <v>0.19135360751097</v>
      </c>
      <c r="M29" t="str">
        <f t="shared" si="4"/>
        <v>19/05/2025</v>
      </c>
      <c r="N29" s="7">
        <f t="shared" si="5"/>
        <v>3.12</v>
      </c>
      <c r="O29" s="7">
        <f t="shared" si="6"/>
        <v>97.99</v>
      </c>
      <c r="P29" s="2">
        <f t="shared" si="7"/>
        <v>3.1839983671803247E-2</v>
      </c>
    </row>
    <row r="30" spans="1:16" x14ac:dyDescent="0.35">
      <c r="A30">
        <v>27</v>
      </c>
      <c r="B30" t="s">
        <v>68</v>
      </c>
      <c r="C30" t="s">
        <v>78</v>
      </c>
      <c r="D30" t="s">
        <v>79</v>
      </c>
      <c r="E30" s="2">
        <f t="shared" si="8"/>
        <v>6.2508060920221598E-2</v>
      </c>
      <c r="F30" s="2">
        <f t="shared" si="9"/>
        <v>0.30813000000000001</v>
      </c>
      <c r="G30" s="2">
        <f t="shared" si="10"/>
        <v>0.33202098924731099</v>
      </c>
      <c r="H30" s="4">
        <f t="shared" si="11"/>
        <v>53.476191999999998</v>
      </c>
      <c r="I30" s="5">
        <f t="shared" si="0"/>
        <v>-0.51719603561774996</v>
      </c>
      <c r="J30" t="str">
        <f t="shared" si="1"/>
        <v>buy</v>
      </c>
      <c r="K30" s="4">
        <f t="shared" si="2"/>
        <v>1</v>
      </c>
      <c r="L30" s="5">
        <f t="shared" si="3"/>
        <v>0.14673058197887701</v>
      </c>
      <c r="M30" t="str">
        <f t="shared" si="4"/>
        <v>01/08/2025</v>
      </c>
      <c r="N30" s="7">
        <f t="shared" si="5"/>
        <v>5.2</v>
      </c>
      <c r="O30" s="7">
        <f t="shared" si="6"/>
        <v>934.57</v>
      </c>
      <c r="P30" s="2">
        <f t="shared" si="7"/>
        <v>5.5640561969675893E-3</v>
      </c>
    </row>
    <row r="31" spans="1:16" x14ac:dyDescent="0.35">
      <c r="A31">
        <v>28</v>
      </c>
      <c r="B31" t="s">
        <v>19</v>
      </c>
      <c r="C31" t="s">
        <v>80</v>
      </c>
      <c r="D31" t="s">
        <v>81</v>
      </c>
      <c r="E31" s="2">
        <f t="shared" si="8"/>
        <v>1.92050132923424E-2</v>
      </c>
      <c r="F31" s="2">
        <f t="shared" si="9"/>
        <v>0.19813</v>
      </c>
      <c r="G31" s="2">
        <f t="shared" si="10"/>
        <v>0.10143364216239099</v>
      </c>
      <c r="H31" s="4">
        <f t="shared" si="11"/>
        <v>40.164577000000001</v>
      </c>
      <c r="I31" s="5">
        <f t="shared" si="0"/>
        <v>-2.40737059408211</v>
      </c>
      <c r="J31" t="str">
        <f t="shared" si="1"/>
        <v>buy</v>
      </c>
      <c r="K31" s="4">
        <f t="shared" si="2"/>
        <v>6</v>
      </c>
      <c r="L31" s="5">
        <f t="shared" si="3"/>
        <v>0.30681237144246198</v>
      </c>
      <c r="M31" t="str">
        <f t="shared" si="4"/>
        <v>18/06/2025</v>
      </c>
      <c r="N31" s="7">
        <f t="shared" si="5"/>
        <v>1.66</v>
      </c>
      <c r="O31" s="7">
        <f t="shared" si="6"/>
        <v>267.39</v>
      </c>
      <c r="P31" s="2">
        <f t="shared" si="7"/>
        <v>6.2081603650099102E-3</v>
      </c>
    </row>
    <row r="32" spans="1:16" x14ac:dyDescent="0.35">
      <c r="A32">
        <v>29</v>
      </c>
      <c r="B32" t="s">
        <v>19</v>
      </c>
      <c r="C32" t="s">
        <v>82</v>
      </c>
      <c r="D32" t="s">
        <v>83</v>
      </c>
      <c r="E32" s="2">
        <f t="shared" si="8"/>
        <v>0.40452494616571399</v>
      </c>
      <c r="F32" s="2">
        <f t="shared" si="9"/>
        <v>0.59624999999999995</v>
      </c>
      <c r="G32" s="2">
        <f t="shared" si="10"/>
        <v>0.22995358673031599</v>
      </c>
      <c r="H32" s="4">
        <f t="shared" si="11"/>
        <v>26.471264000000001</v>
      </c>
      <c r="I32" s="5">
        <f t="shared" si="0"/>
        <v>0.64483001907549198</v>
      </c>
      <c r="J32" t="str">
        <f t="shared" si="1"/>
        <v>buy</v>
      </c>
      <c r="K32" s="4">
        <f t="shared" si="2"/>
        <v>4</v>
      </c>
      <c r="L32" s="5">
        <f t="shared" si="3"/>
        <v>6.1526780459093697E-2</v>
      </c>
      <c r="M32" t="str">
        <f t="shared" si="4"/>
        <v>03/07/2025</v>
      </c>
      <c r="N32" s="7">
        <f t="shared" si="5"/>
        <v>1.64</v>
      </c>
      <c r="O32" s="7">
        <f t="shared" si="6"/>
        <v>67.959999999999994</v>
      </c>
      <c r="P32" s="2">
        <f t="shared" si="7"/>
        <v>2.4131842260153032E-2</v>
      </c>
    </row>
    <row r="33" spans="1:16" x14ac:dyDescent="0.35">
      <c r="A33">
        <v>30</v>
      </c>
      <c r="B33" t="s">
        <v>22</v>
      </c>
      <c r="C33" t="s">
        <v>84</v>
      </c>
      <c r="D33" t="s">
        <v>85</v>
      </c>
      <c r="E33" s="2">
        <f t="shared" si="8"/>
        <v>0.33652600588812498</v>
      </c>
      <c r="F33" s="2">
        <f t="shared" si="9"/>
        <v>1.0667</v>
      </c>
      <c r="G33" s="2">
        <f t="shared" si="10"/>
        <v>5.9965587718369497E-2</v>
      </c>
      <c r="H33" s="4">
        <f t="shared" si="11"/>
        <v>20.376045000000001</v>
      </c>
      <c r="I33" s="5">
        <f t="shared" si="0"/>
        <v>0.88890761001386798</v>
      </c>
      <c r="J33" t="str">
        <f t="shared" si="1"/>
        <v>buy</v>
      </c>
      <c r="K33" s="4">
        <f t="shared" si="2"/>
        <v>9</v>
      </c>
      <c r="L33" s="5">
        <f t="shared" si="3"/>
        <v>0.32343049999999901</v>
      </c>
      <c r="M33" t="str">
        <f t="shared" si="4"/>
        <v>22/07/2025</v>
      </c>
      <c r="N33" s="7">
        <f t="shared" si="5"/>
        <v>2.66</v>
      </c>
      <c r="O33" s="7">
        <f t="shared" si="6"/>
        <v>60</v>
      </c>
      <c r="P33" s="2">
        <f t="shared" si="7"/>
        <v>4.4333333333333336E-2</v>
      </c>
    </row>
    <row r="34" spans="1:16" x14ac:dyDescent="0.35">
      <c r="A34">
        <v>31</v>
      </c>
      <c r="B34" t="s">
        <v>75</v>
      </c>
      <c r="C34" t="s">
        <v>86</v>
      </c>
      <c r="D34" t="s">
        <v>87</v>
      </c>
      <c r="E34" s="2">
        <f t="shared" si="8"/>
        <v>0.134735521345206</v>
      </c>
      <c r="F34" s="2">
        <f t="shared" si="9"/>
        <v>0.20010000000000003</v>
      </c>
      <c r="G34" s="2">
        <f t="shared" si="10"/>
        <v>9.0048449585735102E-2</v>
      </c>
      <c r="H34" s="4">
        <f t="shared" si="11"/>
        <v>20.669239999999999</v>
      </c>
      <c r="I34" s="5">
        <f t="shared" si="0"/>
        <v>1.3154004519206599</v>
      </c>
      <c r="J34" t="str">
        <f t="shared" si="1"/>
        <v>buy</v>
      </c>
      <c r="K34" s="4">
        <f t="shared" si="2"/>
        <v>2</v>
      </c>
      <c r="L34" s="5">
        <f t="shared" si="3"/>
        <v>4.8025409157485703E-2</v>
      </c>
      <c r="M34" t="str">
        <f t="shared" si="4"/>
        <v>19/05/2025</v>
      </c>
      <c r="N34" s="7">
        <f t="shared" si="5"/>
        <v>6.84</v>
      </c>
      <c r="O34" s="7">
        <f t="shared" si="6"/>
        <v>157.03</v>
      </c>
      <c r="P34" s="2">
        <f t="shared" si="7"/>
        <v>4.3558555689995539E-2</v>
      </c>
    </row>
    <row r="35" spans="1:16" x14ac:dyDescent="0.35">
      <c r="A35">
        <v>32</v>
      </c>
      <c r="B35" t="s">
        <v>47</v>
      </c>
      <c r="C35" t="s">
        <v>88</v>
      </c>
      <c r="D35" t="s">
        <v>89</v>
      </c>
      <c r="E35" s="2">
        <f t="shared" si="8"/>
        <v>0.258321822038657</v>
      </c>
      <c r="F35" s="2">
        <f t="shared" si="9"/>
        <v>2.6379800000000002</v>
      </c>
      <c r="G35" s="2">
        <f t="shared" si="10"/>
        <v>0.228017168681029</v>
      </c>
      <c r="H35" s="4">
        <f t="shared" si="11"/>
        <v>24.994257000000001</v>
      </c>
      <c r="I35" s="5">
        <f t="shared" si="0"/>
        <v>1.69031750564376</v>
      </c>
      <c r="J35" t="str">
        <f t="shared" si="1"/>
        <v>buy</v>
      </c>
      <c r="K35" s="4">
        <f t="shared" si="2"/>
        <v>7</v>
      </c>
      <c r="L35" s="5">
        <f t="shared" si="3"/>
        <v>6.0771239024390203E-2</v>
      </c>
      <c r="M35" t="str">
        <f t="shared" si="4"/>
        <v>30/06/2025</v>
      </c>
      <c r="N35" s="7">
        <f t="shared" si="5"/>
        <v>6.48</v>
      </c>
      <c r="O35" s="7">
        <f t="shared" si="6"/>
        <v>512.5</v>
      </c>
      <c r="P35" s="2">
        <f t="shared" si="7"/>
        <v>1.2643902439024392E-2</v>
      </c>
    </row>
    <row r="36" spans="1:16" x14ac:dyDescent="0.35">
      <c r="A36">
        <v>33</v>
      </c>
      <c r="B36" t="s">
        <v>22</v>
      </c>
      <c r="C36" t="s">
        <v>90</v>
      </c>
      <c r="D36" t="s">
        <v>91</v>
      </c>
      <c r="E36" s="2">
        <f t="shared" si="8"/>
        <v>-0.231722113072689</v>
      </c>
      <c r="F36" s="2">
        <f t="shared" si="9"/>
        <v>0.35450000000000004</v>
      </c>
      <c r="G36" s="2">
        <f t="shared" si="10"/>
        <v>6.8889650122116106E-2</v>
      </c>
      <c r="H36" s="4">
        <f t="shared" si="11"/>
        <v>43.698517000000002</v>
      </c>
      <c r="I36" s="5">
        <f t="shared" ref="I36:I67" si="12">_xlfn.NUMBERVALUE(SUBSTITUTE(_xlfn.WEBSERVICE(_xlfn.CONCAT("http://172.31.103.65:5000/symbol/",$C36,"/discountToIntrinsicValueRatio/raw")),".",",",1))</f>
        <v>1.67254513709386</v>
      </c>
      <c r="J36" t="str">
        <f t="shared" ref="J36:J67" si="13">_xlfn.WEBSERVICE(_xlfn.CONCAT("http://172.31.103.65:5000/symbol/",$C36,"/recommendationKey/raw"))</f>
        <v>strong_buy</v>
      </c>
      <c r="K36" s="4">
        <f t="shared" ref="K36:K67" si="14">_xlfn.NUMBERVALUE(_xlfn.WEBSERVICE(_xlfn.CONCAT("http://172.31.103.65:5000/symbol/",$C36,"/overallRisk/raw")))</f>
        <v>7</v>
      </c>
      <c r="L36" s="5">
        <f t="shared" ref="L36:L67" si="15">_xlfn.NUMBERVALUE(SUBSTITUTE(_xlfn.WEBSERVICE(_xlfn.CONCAT("http://172.31.103.65:5000/symbol/",$C36,"/targetRatio/raw")),".",",",1))</f>
        <v>0.195713463862702</v>
      </c>
      <c r="M36" t="str">
        <f t="shared" ref="M36:M67" si="16">_xlfn.WEBSERVICE(_xlfn.CONCAT("http://172.31.103.65:5000/symbol/",$C36,"/exDividendDate/raw"))</f>
        <v>27/06/2025</v>
      </c>
      <c r="N36" s="7">
        <f t="shared" ref="N36:N67" si="17">_xlfn.NUMBERVALUE(SUBSTITUTE(SUBSTITUTE(_xlfn.WEBSERVICE(_xlfn.CONCAT("http://172.31.103.65:5000/symbol/",$C36,"/dividendRate/raw")),".",",",1),"-","0", 1))</f>
        <v>1.28</v>
      </c>
      <c r="O36" s="7">
        <f t="shared" ref="O36:O67" si="18">_xlfn.NUMBERVALUE(SUBSTITUTE(_xlfn.WEBSERVICE(_xlfn.CONCAT("http://172.31.103.65:5000/symbol/",$C36,"/currentPrice/raw")),".",",",1))</f>
        <v>206.85</v>
      </c>
      <c r="P36" s="2">
        <f t="shared" ref="P36:P67" si="19">N36/O36</f>
        <v>6.1880589799371529E-3</v>
      </c>
    </row>
    <row r="37" spans="1:16" x14ac:dyDescent="0.35">
      <c r="A37">
        <v>34</v>
      </c>
      <c r="B37" t="s">
        <v>65</v>
      </c>
      <c r="C37" t="s">
        <v>92</v>
      </c>
      <c r="D37" t="s">
        <v>93</v>
      </c>
      <c r="E37" s="2">
        <f t="shared" si="8"/>
        <v>0.32121719224526402</v>
      </c>
      <c r="F37" s="2">
        <f t="shared" si="9"/>
        <v>0.37152000000000002</v>
      </c>
      <c r="G37" s="2">
        <f t="shared" si="10"/>
        <v>0.114711602764757</v>
      </c>
      <c r="H37" s="4">
        <f t="shared" si="11"/>
        <v>18.554856999999998</v>
      </c>
      <c r="I37" s="5">
        <f t="shared" si="12"/>
        <v>-1.8789915966386499</v>
      </c>
      <c r="J37" t="str">
        <f t="shared" si="13"/>
        <v>buy</v>
      </c>
      <c r="K37" s="4">
        <f t="shared" si="14"/>
        <v>2</v>
      </c>
      <c r="L37" s="5">
        <f t="shared" si="15"/>
        <v>8.3219831540321906E-2</v>
      </c>
      <c r="M37" t="str">
        <f t="shared" si="16"/>
        <v>24/06/2025</v>
      </c>
      <c r="N37" s="7">
        <f t="shared" si="17"/>
        <v>1</v>
      </c>
      <c r="O37" s="7">
        <f t="shared" si="18"/>
        <v>119.91</v>
      </c>
      <c r="P37" s="2">
        <f t="shared" si="19"/>
        <v>8.3395880243515973E-3</v>
      </c>
    </row>
    <row r="38" spans="1:16" x14ac:dyDescent="0.35">
      <c r="A38">
        <v>35</v>
      </c>
      <c r="B38" t="s">
        <v>94</v>
      </c>
      <c r="C38" t="s">
        <v>95</v>
      </c>
      <c r="D38" t="s">
        <v>96</v>
      </c>
      <c r="E38" s="2">
        <f t="shared" si="8"/>
        <v>0.114750904523844</v>
      </c>
      <c r="F38" s="2">
        <f t="shared" si="9"/>
        <v>1.70004</v>
      </c>
      <c r="G38" s="2">
        <f t="shared" si="10"/>
        <v>9.4362204684195802E-2</v>
      </c>
      <c r="H38" s="4">
        <f t="shared" si="11"/>
        <v>20.047461999999999</v>
      </c>
      <c r="I38" s="5">
        <f t="shared" si="12"/>
        <v>0.62255389718076204</v>
      </c>
      <c r="J38" t="str">
        <f t="shared" si="13"/>
        <v>buy</v>
      </c>
      <c r="K38" s="4">
        <f t="shared" si="14"/>
        <v>1</v>
      </c>
      <c r="L38" s="5">
        <f t="shared" si="15"/>
        <v>7.30128044187799E-2</v>
      </c>
      <c r="M38" t="str">
        <f t="shared" si="16"/>
        <v>15/08/2025</v>
      </c>
      <c r="N38" s="7">
        <f t="shared" si="17"/>
        <v>4.26</v>
      </c>
      <c r="O38" s="7">
        <f t="shared" si="18"/>
        <v>119.49</v>
      </c>
      <c r="P38" s="2">
        <f t="shared" si="19"/>
        <v>3.5651518955561137E-2</v>
      </c>
    </row>
    <row r="39" spans="1:16" x14ac:dyDescent="0.35">
      <c r="A39">
        <v>36</v>
      </c>
      <c r="B39" t="s">
        <v>47</v>
      </c>
      <c r="C39" t="s">
        <v>97</v>
      </c>
      <c r="D39" t="s">
        <v>98</v>
      </c>
      <c r="E39" s="2">
        <f t="shared" si="8"/>
        <v>0.27353443466574401</v>
      </c>
      <c r="F39" s="2">
        <f t="shared" si="9"/>
        <v>0.74770999999999999</v>
      </c>
      <c r="G39" s="2">
        <f t="shared" si="10"/>
        <v>0.102052135330005</v>
      </c>
      <c r="H39" s="4">
        <f t="shared" si="11"/>
        <v>33.933163</v>
      </c>
      <c r="I39" s="5">
        <f t="shared" si="12"/>
        <v>-5.7913503565677402</v>
      </c>
      <c r="J39" t="str">
        <f t="shared" si="13"/>
        <v>buy</v>
      </c>
      <c r="K39" s="4">
        <f t="shared" si="14"/>
        <v>8</v>
      </c>
      <c r="L39" s="5">
        <f t="shared" si="15"/>
        <v>-1.53262651581872E-2</v>
      </c>
      <c r="M39" t="str">
        <f t="shared" si="16"/>
        <v>16/05/2025</v>
      </c>
      <c r="N39" s="7">
        <f t="shared" si="17"/>
        <v>2.11</v>
      </c>
      <c r="O39" s="7">
        <f t="shared" si="18"/>
        <v>147.61000000000001</v>
      </c>
      <c r="P39" s="2">
        <f t="shared" si="19"/>
        <v>1.4294424496985297E-2</v>
      </c>
    </row>
    <row r="40" spans="1:16" x14ac:dyDescent="0.35">
      <c r="A40">
        <v>37</v>
      </c>
      <c r="B40" t="s">
        <v>47</v>
      </c>
      <c r="C40" t="s">
        <v>99</v>
      </c>
      <c r="D40" t="s">
        <v>100</v>
      </c>
      <c r="E40" s="2">
        <f t="shared" si="8"/>
        <v>-0.209628366649178</v>
      </c>
      <c r="F40" s="2" t="str">
        <f t="shared" si="9"/>
        <v>-</v>
      </c>
      <c r="G40" s="2">
        <f t="shared" si="10"/>
        <v>0.14557954206739299</v>
      </c>
      <c r="H40" s="4">
        <f t="shared" si="11"/>
        <v>13.754168</v>
      </c>
      <c r="I40" s="5">
        <f t="shared" si="12"/>
        <v>1.77131018153117</v>
      </c>
      <c r="J40" t="str">
        <f t="shared" si="13"/>
        <v>buy</v>
      </c>
      <c r="K40" s="4">
        <f t="shared" si="14"/>
        <v>5</v>
      </c>
      <c r="L40" s="5">
        <f t="shared" si="15"/>
        <v>0.13584036838065899</v>
      </c>
      <c r="M40" t="str">
        <f t="shared" si="16"/>
        <v>23/06/2025</v>
      </c>
      <c r="N40" s="7">
        <f t="shared" si="17"/>
        <v>5.8</v>
      </c>
      <c r="O40" s="7">
        <f t="shared" si="18"/>
        <v>234.54</v>
      </c>
      <c r="P40" s="2">
        <f t="shared" si="19"/>
        <v>2.4729257269548905E-2</v>
      </c>
    </row>
    <row r="41" spans="1:16" x14ac:dyDescent="0.35">
      <c r="A41">
        <v>38</v>
      </c>
      <c r="B41" t="s">
        <v>47</v>
      </c>
      <c r="C41" t="s">
        <v>101</v>
      </c>
      <c r="D41" t="s">
        <v>102</v>
      </c>
      <c r="E41" s="2">
        <f t="shared" si="8"/>
        <v>0.10695029047856</v>
      </c>
      <c r="F41" s="2">
        <f t="shared" si="9"/>
        <v>0.45033999999999996</v>
      </c>
      <c r="G41" s="2">
        <f t="shared" si="10"/>
        <v>0.18519694184834301</v>
      </c>
      <c r="H41" s="4">
        <f t="shared" si="11"/>
        <v>21.783221999999999</v>
      </c>
      <c r="I41" s="5">
        <f t="shared" si="12"/>
        <v>0.442722813479485</v>
      </c>
      <c r="J41" t="str">
        <f t="shared" si="13"/>
        <v>buy</v>
      </c>
      <c r="K41" s="4">
        <f t="shared" si="14"/>
        <v>3</v>
      </c>
      <c r="L41" s="5">
        <f t="shared" si="15"/>
        <v>6.5231712742294307E-2</v>
      </c>
      <c r="M41" t="str">
        <f t="shared" si="16"/>
        <v>03/07/2025</v>
      </c>
      <c r="N41" s="7">
        <f t="shared" si="17"/>
        <v>6</v>
      </c>
      <c r="O41" s="7">
        <f t="shared" si="18"/>
        <v>314.7</v>
      </c>
      <c r="P41" s="2">
        <f t="shared" si="19"/>
        <v>1.9065776930409915E-2</v>
      </c>
    </row>
    <row r="42" spans="1:16" x14ac:dyDescent="0.35">
      <c r="A42">
        <v>39</v>
      </c>
      <c r="B42" t="s">
        <v>47</v>
      </c>
      <c r="C42" t="s">
        <v>103</v>
      </c>
      <c r="D42" t="s">
        <v>104</v>
      </c>
      <c r="E42" s="2">
        <f t="shared" si="8"/>
        <v>0.58615347623879599</v>
      </c>
      <c r="F42" s="2">
        <f t="shared" si="9"/>
        <v>1.0337000000000001</v>
      </c>
      <c r="G42" s="2">
        <f t="shared" si="10"/>
        <v>0.39215179071450701</v>
      </c>
      <c r="H42" s="4">
        <f t="shared" si="11"/>
        <v>39.202281999999997</v>
      </c>
      <c r="I42" s="5">
        <f t="shared" si="12"/>
        <v>0.71791786631492005</v>
      </c>
      <c r="J42" t="str">
        <f t="shared" si="13"/>
        <v>strong_buy</v>
      </c>
      <c r="K42" s="4">
        <f t="shared" si="14"/>
        <v>9</v>
      </c>
      <c r="L42" s="5">
        <f t="shared" si="15"/>
        <v>8.4171876734119994E-2</v>
      </c>
      <c r="M42" t="str">
        <f t="shared" si="16"/>
        <v>07/07/2025</v>
      </c>
      <c r="N42" s="7">
        <f t="shared" si="17"/>
        <v>1.44</v>
      </c>
      <c r="O42" s="7">
        <f t="shared" si="18"/>
        <v>270.31</v>
      </c>
      <c r="P42" s="2">
        <f t="shared" si="19"/>
        <v>5.3272168991158296E-3</v>
      </c>
    </row>
    <row r="43" spans="1:16" x14ac:dyDescent="0.35">
      <c r="A43">
        <v>40</v>
      </c>
      <c r="B43" t="s">
        <v>22</v>
      </c>
      <c r="C43" t="s">
        <v>105</v>
      </c>
      <c r="D43" t="s">
        <v>106</v>
      </c>
      <c r="E43" s="2">
        <f t="shared" si="8"/>
        <v>0.47611902577286003</v>
      </c>
      <c r="F43" s="2">
        <f t="shared" si="9"/>
        <v>1.2734000000000001</v>
      </c>
      <c r="G43" s="2">
        <f t="shared" si="10"/>
        <v>0.32648732871184599</v>
      </c>
      <c r="H43" s="4">
        <f t="shared" si="11"/>
        <v>22.414681999999999</v>
      </c>
      <c r="I43" s="5">
        <f t="shared" si="12"/>
        <v>-1.8232822540781</v>
      </c>
      <c r="J43" t="str">
        <f t="shared" si="13"/>
        <v>buy</v>
      </c>
      <c r="K43" s="4">
        <f t="shared" si="14"/>
        <v>3</v>
      </c>
      <c r="L43" s="5">
        <f t="shared" si="15"/>
        <v>3.44379760133064E-2</v>
      </c>
      <c r="M43" t="str">
        <f t="shared" si="16"/>
        <v>13/06/2025</v>
      </c>
      <c r="N43" s="7">
        <f t="shared" si="17"/>
        <v>3.16</v>
      </c>
      <c r="O43" s="7">
        <f t="shared" si="18"/>
        <v>114.23</v>
      </c>
      <c r="P43" s="2">
        <f t="shared" si="19"/>
        <v>2.7663485949400334E-2</v>
      </c>
    </row>
    <row r="44" spans="1:16" x14ac:dyDescent="0.35">
      <c r="A44">
        <v>41</v>
      </c>
      <c r="B44" t="s">
        <v>40</v>
      </c>
      <c r="C44" t="s">
        <v>107</v>
      </c>
      <c r="D44" t="s">
        <v>108</v>
      </c>
      <c r="E44" s="2">
        <f t="shared" si="8"/>
        <v>0.1893672865737</v>
      </c>
      <c r="F44" s="2">
        <f t="shared" si="9"/>
        <v>2.0019100000000001</v>
      </c>
      <c r="G44" s="2">
        <f t="shared" si="10"/>
        <v>0.103437345509893</v>
      </c>
      <c r="H44" s="4">
        <f t="shared" si="11"/>
        <v>8.9450380000000003</v>
      </c>
      <c r="I44" s="5">
        <f t="shared" si="12"/>
        <v>1.1907847767587401</v>
      </c>
      <c r="J44" t="str">
        <f t="shared" si="13"/>
        <v>buy</v>
      </c>
      <c r="K44" s="4">
        <f t="shared" si="14"/>
        <v>6</v>
      </c>
      <c r="L44" s="5">
        <f t="shared" si="15"/>
        <v>9.5766071771253097E-2</v>
      </c>
      <c r="M44" t="str">
        <f t="shared" si="16"/>
        <v>05/09/2025</v>
      </c>
      <c r="N44" s="7">
        <f t="shared" si="17"/>
        <v>0.6</v>
      </c>
      <c r="O44" s="7">
        <f t="shared" si="18"/>
        <v>52.11</v>
      </c>
      <c r="P44" s="2">
        <f t="shared" si="19"/>
        <v>1.1514104778353483E-2</v>
      </c>
    </row>
    <row r="45" spans="1:16" x14ac:dyDescent="0.35">
      <c r="A45">
        <v>42</v>
      </c>
      <c r="B45" t="s">
        <v>65</v>
      </c>
      <c r="C45" t="s">
        <v>109</v>
      </c>
      <c r="D45" t="s">
        <v>110</v>
      </c>
      <c r="E45" s="2">
        <f t="shared" si="8"/>
        <v>0.29946764354927802</v>
      </c>
      <c r="F45" s="2">
        <f t="shared" si="9"/>
        <v>0.11481</v>
      </c>
      <c r="G45" s="2">
        <f t="shared" si="10"/>
        <v>0.35551733750046099</v>
      </c>
      <c r="H45" s="4">
        <f t="shared" si="11"/>
        <v>22.788686999999999</v>
      </c>
      <c r="I45" s="5">
        <f t="shared" si="12"/>
        <v>0.60562401872798999</v>
      </c>
      <c r="J45" t="str">
        <f t="shared" si="13"/>
        <v>buy</v>
      </c>
      <c r="K45" s="4" t="e">
        <f t="shared" si="14"/>
        <v>#VALUE!</v>
      </c>
      <c r="L45" s="5">
        <f t="shared" si="15"/>
        <v>0.101240492796415</v>
      </c>
      <c r="M45" t="str">
        <f t="shared" si="16"/>
        <v>08/09/2025</v>
      </c>
      <c r="N45" s="7">
        <f t="shared" si="17"/>
        <v>0.84</v>
      </c>
      <c r="O45" s="7">
        <f t="shared" si="18"/>
        <v>196.43</v>
      </c>
      <c r="P45" s="2">
        <f t="shared" si="19"/>
        <v>4.2763325357633762E-3</v>
      </c>
    </row>
    <row r="46" spans="1:16" x14ac:dyDescent="0.35">
      <c r="A46">
        <v>43</v>
      </c>
      <c r="B46" t="s">
        <v>65</v>
      </c>
      <c r="C46" t="s">
        <v>111</v>
      </c>
      <c r="D46" t="s">
        <v>112</v>
      </c>
      <c r="E46" s="2">
        <f t="shared" si="8"/>
        <v>0.30947086406232099</v>
      </c>
      <c r="F46" s="2">
        <f t="shared" si="9"/>
        <v>0.11481</v>
      </c>
      <c r="G46" s="2">
        <f t="shared" si="10"/>
        <v>0.35551733750046099</v>
      </c>
      <c r="H46" s="4">
        <f t="shared" si="11"/>
        <v>22.674122000000001</v>
      </c>
      <c r="I46" s="5">
        <f t="shared" si="12"/>
        <v>0.60698926674135301</v>
      </c>
      <c r="J46" t="str">
        <f t="shared" si="13"/>
        <v>buy</v>
      </c>
      <c r="K46" s="4">
        <f t="shared" si="14"/>
        <v>10</v>
      </c>
      <c r="L46" s="5">
        <f t="shared" si="15"/>
        <v>0.10321931034482699</v>
      </c>
      <c r="M46" t="str">
        <f t="shared" si="16"/>
        <v>08/09/2025</v>
      </c>
      <c r="N46" s="7">
        <f t="shared" si="17"/>
        <v>0.84</v>
      </c>
      <c r="O46" s="7">
        <f t="shared" si="18"/>
        <v>195.75</v>
      </c>
      <c r="P46" s="2">
        <f t="shared" si="19"/>
        <v>4.2911877394636016E-3</v>
      </c>
    </row>
    <row r="47" spans="1:16" x14ac:dyDescent="0.35">
      <c r="A47">
        <v>44</v>
      </c>
      <c r="B47" t="s">
        <v>31</v>
      </c>
      <c r="C47" t="s">
        <v>113</v>
      </c>
      <c r="D47" t="s">
        <v>114</v>
      </c>
      <c r="E47" s="2">
        <f t="shared" si="8"/>
        <v>0.49036064254733902</v>
      </c>
      <c r="F47" s="2">
        <f t="shared" si="9"/>
        <v>5.8839200000000007</v>
      </c>
      <c r="G47" s="2">
        <f t="shared" si="10"/>
        <v>0.12055313551263901</v>
      </c>
      <c r="H47" s="4">
        <f t="shared" si="11"/>
        <v>16.418816</v>
      </c>
      <c r="I47" s="5">
        <f t="shared" si="12"/>
        <v>0.738515908633819</v>
      </c>
      <c r="J47" t="str">
        <f t="shared" si="13"/>
        <v>hold</v>
      </c>
      <c r="K47" s="4">
        <f t="shared" si="14"/>
        <v>9</v>
      </c>
      <c r="L47" s="5">
        <f t="shared" si="15"/>
        <v>-3.7506079401076503E-2</v>
      </c>
      <c r="M47" t="str">
        <f t="shared" si="16"/>
        <v>29/08/2025</v>
      </c>
      <c r="N47" s="7">
        <f t="shared" si="17"/>
        <v>16</v>
      </c>
      <c r="O47" s="7">
        <f t="shared" si="18"/>
        <v>731.98</v>
      </c>
      <c r="P47" s="2">
        <f t="shared" si="19"/>
        <v>2.1858520724609962E-2</v>
      </c>
    </row>
    <row r="48" spans="1:16" x14ac:dyDescent="0.35">
      <c r="A48">
        <v>45</v>
      </c>
      <c r="B48" t="s">
        <v>40</v>
      </c>
      <c r="C48" t="s">
        <v>115</v>
      </c>
      <c r="D48" t="s">
        <v>116</v>
      </c>
      <c r="E48" s="2" t="str">
        <f t="shared" si="8"/>
        <v>-</v>
      </c>
      <c r="F48" s="2">
        <f t="shared" si="9"/>
        <v>5.8059099999999999</v>
      </c>
      <c r="G48" s="2">
        <f t="shared" si="10"/>
        <v>2.2031626795180701</v>
      </c>
      <c r="H48" s="4">
        <f t="shared" si="11"/>
        <v>27.615072000000001</v>
      </c>
      <c r="I48" s="5">
        <f t="shared" si="12"/>
        <v>18.101291638341198</v>
      </c>
      <c r="J48" t="str">
        <f t="shared" si="13"/>
        <v>buy</v>
      </c>
      <c r="K48" s="4">
        <f t="shared" si="14"/>
        <v>1</v>
      </c>
      <c r="L48" s="5">
        <f t="shared" si="15"/>
        <v>0.118978374940372</v>
      </c>
      <c r="M48" t="str">
        <f t="shared" si="16"/>
        <v>05/06/2025</v>
      </c>
      <c r="N48" s="7">
        <f t="shared" si="17"/>
        <v>9.1999999999999993</v>
      </c>
      <c r="O48" s="7">
        <f t="shared" si="18"/>
        <v>377.34</v>
      </c>
      <c r="P48" s="2">
        <f t="shared" si="19"/>
        <v>2.4381194678539247E-2</v>
      </c>
    </row>
    <row r="49" spans="1:16" x14ac:dyDescent="0.35">
      <c r="A49">
        <v>46</v>
      </c>
      <c r="B49" t="s">
        <v>47</v>
      </c>
      <c r="C49" t="s">
        <v>117</v>
      </c>
      <c r="D49" t="s">
        <v>118</v>
      </c>
      <c r="E49" s="2">
        <f t="shared" si="8"/>
        <v>7.7651357661551901E-2</v>
      </c>
      <c r="F49" s="2">
        <f t="shared" si="9"/>
        <v>2.2606000000000002</v>
      </c>
      <c r="G49" s="2">
        <f t="shared" si="10"/>
        <v>0.307051946506257</v>
      </c>
      <c r="H49" s="4">
        <f t="shared" si="11"/>
        <v>25</v>
      </c>
      <c r="I49" s="5">
        <f t="shared" si="12"/>
        <v>-0.56493506493506396</v>
      </c>
      <c r="J49" t="str">
        <f t="shared" si="13"/>
        <v>buy</v>
      </c>
      <c r="K49" s="4">
        <f t="shared" si="14"/>
        <v>1</v>
      </c>
      <c r="L49" s="5">
        <f t="shared" si="15"/>
        <v>0.13474400144326101</v>
      </c>
      <c r="M49" t="str">
        <f t="shared" si="16"/>
        <v>15/08/2025</v>
      </c>
      <c r="N49" s="7">
        <f t="shared" si="17"/>
        <v>4.5199999999999996</v>
      </c>
      <c r="O49" s="7">
        <f t="shared" si="18"/>
        <v>221.72</v>
      </c>
      <c r="P49" s="2">
        <f t="shared" si="19"/>
        <v>2.0386072523904022E-2</v>
      </c>
    </row>
    <row r="50" spans="1:16" x14ac:dyDescent="0.35">
      <c r="A50">
        <v>47</v>
      </c>
      <c r="B50" t="s">
        <v>19</v>
      </c>
      <c r="C50" t="s">
        <v>119</v>
      </c>
      <c r="D50" t="s">
        <v>119</v>
      </c>
      <c r="E50" s="2">
        <f t="shared" si="8"/>
        <v>0.23865480021253099</v>
      </c>
      <c r="F50" s="2">
        <f t="shared" si="9"/>
        <v>2.45465</v>
      </c>
      <c r="G50" s="2">
        <f t="shared" si="10"/>
        <v>0.21452374380195499</v>
      </c>
      <c r="H50" s="4">
        <f t="shared" si="11"/>
        <v>39.209339999999997</v>
      </c>
      <c r="I50" s="5">
        <f t="shared" si="12"/>
        <v>3.7447866803120601E-2</v>
      </c>
      <c r="J50" t="str">
        <f t="shared" si="13"/>
        <v>buy</v>
      </c>
      <c r="K50" s="4">
        <f t="shared" si="14"/>
        <v>7</v>
      </c>
      <c r="L50" s="5">
        <f t="shared" si="15"/>
        <v>6.5163141648565001E-2</v>
      </c>
      <c r="M50" t="str">
        <f t="shared" si="16"/>
        <v>08/08/2025</v>
      </c>
      <c r="N50" s="7">
        <f t="shared" si="17"/>
        <v>6.72</v>
      </c>
      <c r="O50" s="7">
        <f t="shared" si="18"/>
        <v>262.41000000000003</v>
      </c>
      <c r="P50" s="2">
        <f t="shared" si="19"/>
        <v>2.5608780153195378E-2</v>
      </c>
    </row>
    <row r="51" spans="1:16" x14ac:dyDescent="0.35">
      <c r="A51">
        <v>48</v>
      </c>
      <c r="B51" t="s">
        <v>19</v>
      </c>
      <c r="C51" t="s">
        <v>120</v>
      </c>
      <c r="D51" t="s">
        <v>121</v>
      </c>
      <c r="E51" s="2">
        <f t="shared" si="8"/>
        <v>0.104809391493502</v>
      </c>
      <c r="F51" s="2">
        <f t="shared" si="9"/>
        <v>0.47997000000000001</v>
      </c>
      <c r="G51" s="2">
        <f t="shared" si="10"/>
        <v>-0.20654780408985501</v>
      </c>
      <c r="H51" s="4" t="str">
        <f t="shared" si="11"/>
        <v>-</v>
      </c>
      <c r="I51" s="5">
        <f t="shared" si="12"/>
        <v>1.5033912936243601</v>
      </c>
      <c r="J51" t="str">
        <f t="shared" si="13"/>
        <v>hold</v>
      </c>
      <c r="K51" s="4">
        <f t="shared" si="14"/>
        <v>6</v>
      </c>
      <c r="L51" s="5">
        <f t="shared" si="15"/>
        <v>7.5313081822636005E-2</v>
      </c>
      <c r="M51" t="str">
        <f t="shared" si="16"/>
        <v>07/08/2024</v>
      </c>
      <c r="N51" s="7">
        <f t="shared" si="17"/>
        <v>0</v>
      </c>
      <c r="O51" s="7">
        <f t="shared" si="18"/>
        <v>20.41</v>
      </c>
      <c r="P51" s="2">
        <f t="shared" si="19"/>
        <v>0</v>
      </c>
    </row>
    <row r="52" spans="1:16" x14ac:dyDescent="0.35">
      <c r="A52">
        <v>49</v>
      </c>
      <c r="B52" t="s">
        <v>19</v>
      </c>
      <c r="C52" t="s">
        <v>122</v>
      </c>
      <c r="D52" t="s">
        <v>123</v>
      </c>
      <c r="E52" s="2">
        <f t="shared" si="8"/>
        <v>6.51248787762123E-2</v>
      </c>
      <c r="F52" s="2" t="str">
        <f t="shared" si="9"/>
        <v>-</v>
      </c>
      <c r="G52" s="2">
        <f t="shared" si="10"/>
        <v>0.20986113777391999</v>
      </c>
      <c r="H52" s="4">
        <f t="shared" si="11"/>
        <v>48.792976000000003</v>
      </c>
      <c r="I52" s="5">
        <f t="shared" si="12"/>
        <v>3.3152726333017402</v>
      </c>
      <c r="J52" t="str">
        <f t="shared" si="13"/>
        <v>buy</v>
      </c>
      <c r="K52" s="4">
        <f t="shared" si="14"/>
        <v>1</v>
      </c>
      <c r="L52" s="5">
        <f t="shared" si="15"/>
        <v>2.2261949053749001E-2</v>
      </c>
      <c r="M52" t="str">
        <f t="shared" si="16"/>
        <v>10/07/2025</v>
      </c>
      <c r="N52" s="7">
        <f t="shared" si="17"/>
        <v>4.16</v>
      </c>
      <c r="O52" s="7">
        <f t="shared" si="18"/>
        <v>806.34</v>
      </c>
      <c r="P52" s="2">
        <f t="shared" si="19"/>
        <v>5.159114021380559E-3</v>
      </c>
    </row>
    <row r="53" spans="1:16" x14ac:dyDescent="0.35">
      <c r="A53">
        <v>50</v>
      </c>
      <c r="B53" t="s">
        <v>22</v>
      </c>
      <c r="C53" t="s">
        <v>124</v>
      </c>
      <c r="D53" t="s">
        <v>125</v>
      </c>
      <c r="E53" s="2">
        <f t="shared" si="8"/>
        <v>-3.9248532755149397E-2</v>
      </c>
      <c r="F53" s="2" t="str">
        <f t="shared" si="9"/>
        <v>-</v>
      </c>
      <c r="G53" s="2">
        <f t="shared" si="10"/>
        <v>0.15867395218362201</v>
      </c>
      <c r="H53" s="4">
        <f t="shared" si="11"/>
        <v>66.19511</v>
      </c>
      <c r="I53" s="5">
        <f t="shared" si="12"/>
        <v>-0.22823453799377</v>
      </c>
      <c r="J53" t="str">
        <f t="shared" si="13"/>
        <v>buy</v>
      </c>
      <c r="K53" s="4">
        <f t="shared" si="14"/>
        <v>3</v>
      </c>
      <c r="L53" s="5">
        <f t="shared" si="15"/>
        <v>0.17462869563467201</v>
      </c>
      <c r="M53" t="str">
        <f t="shared" si="16"/>
        <v>-</v>
      </c>
      <c r="N53" s="7">
        <f t="shared" si="17"/>
        <v>0</v>
      </c>
      <c r="O53" s="7">
        <f t="shared" si="18"/>
        <v>496.87</v>
      </c>
      <c r="P53" s="2">
        <f t="shared" si="19"/>
        <v>0</v>
      </c>
    </row>
    <row r="54" spans="1:16" x14ac:dyDescent="0.35">
      <c r="A54">
        <v>51</v>
      </c>
      <c r="B54" t="s">
        <v>22</v>
      </c>
      <c r="C54" t="s">
        <v>126</v>
      </c>
      <c r="D54" t="s">
        <v>127</v>
      </c>
      <c r="E54" s="2">
        <f t="shared" si="8"/>
        <v>0.102720111413448</v>
      </c>
      <c r="F54" s="2">
        <f t="shared" si="9"/>
        <v>0.6468600000000001</v>
      </c>
      <c r="G54" s="2">
        <f t="shared" si="10"/>
        <v>0.31698138436144901</v>
      </c>
      <c r="H54" s="4">
        <f t="shared" si="11"/>
        <v>18.96895</v>
      </c>
      <c r="I54" s="5">
        <f t="shared" si="12"/>
        <v>0.60786646326386795</v>
      </c>
      <c r="J54" t="str">
        <f t="shared" si="13"/>
        <v>buy</v>
      </c>
      <c r="K54" s="4">
        <f t="shared" si="14"/>
        <v>4</v>
      </c>
      <c r="L54" s="5">
        <f t="shared" si="15"/>
        <v>4.5906073404318501E-2</v>
      </c>
      <c r="M54" t="str">
        <f t="shared" si="16"/>
        <v>26/08/2025</v>
      </c>
      <c r="N54" s="7">
        <f t="shared" si="17"/>
        <v>5.2</v>
      </c>
      <c r="O54" s="7">
        <f t="shared" si="18"/>
        <v>168.11</v>
      </c>
      <c r="P54" s="2">
        <f t="shared" si="19"/>
        <v>3.0932127773481647E-2</v>
      </c>
    </row>
    <row r="55" spans="1:16" x14ac:dyDescent="0.35">
      <c r="A55">
        <v>52</v>
      </c>
      <c r="B55" t="s">
        <v>31</v>
      </c>
      <c r="C55" t="s">
        <v>128</v>
      </c>
      <c r="D55" t="s">
        <v>129</v>
      </c>
      <c r="E55" s="2">
        <f t="shared" si="8"/>
        <v>0.37094582949225402</v>
      </c>
      <c r="F55" s="2" t="str">
        <f t="shared" si="9"/>
        <v>-</v>
      </c>
      <c r="G55" s="2">
        <f t="shared" si="10"/>
        <v>0.159981782282064</v>
      </c>
      <c r="H55" s="4">
        <f t="shared" si="11"/>
        <v>15.457437000000001</v>
      </c>
      <c r="I55" s="5">
        <f t="shared" si="12"/>
        <v>1.75000063122864</v>
      </c>
      <c r="J55" t="str">
        <f t="shared" si="13"/>
        <v>buy</v>
      </c>
      <c r="K55" s="4">
        <f t="shared" si="14"/>
        <v>5</v>
      </c>
      <c r="L55" s="5">
        <f t="shared" si="15"/>
        <v>2.1985018852679599E-2</v>
      </c>
      <c r="M55" t="str">
        <f t="shared" si="16"/>
        <v>03/07/2025</v>
      </c>
      <c r="N55" s="7">
        <f t="shared" si="17"/>
        <v>5.6</v>
      </c>
      <c r="O55" s="7">
        <f t="shared" si="18"/>
        <v>297.04000000000002</v>
      </c>
      <c r="P55" s="2">
        <f t="shared" si="19"/>
        <v>1.8852679773767839E-2</v>
      </c>
    </row>
    <row r="56" spans="1:16" x14ac:dyDescent="0.35">
      <c r="A56">
        <v>53</v>
      </c>
      <c r="B56" t="s">
        <v>68</v>
      </c>
      <c r="C56" t="s">
        <v>130</v>
      </c>
      <c r="D56" t="s">
        <v>131</v>
      </c>
      <c r="E56" s="2">
        <f t="shared" si="8"/>
        <v>-2.0179213337596799E-2</v>
      </c>
      <c r="F56" s="2">
        <f t="shared" si="9"/>
        <v>1.66367</v>
      </c>
      <c r="G56" s="2">
        <f t="shared" si="10"/>
        <v>0.49014322755069201</v>
      </c>
      <c r="H56" s="4">
        <f t="shared" si="11"/>
        <v>24.464538999999998</v>
      </c>
      <c r="I56" s="5">
        <f t="shared" si="12"/>
        <v>0.80013942421257001</v>
      </c>
      <c r="J56" t="str">
        <f t="shared" si="13"/>
        <v>buy</v>
      </c>
      <c r="K56" s="4">
        <f t="shared" si="14"/>
        <v>2</v>
      </c>
      <c r="L56" s="5">
        <f t="shared" si="15"/>
        <v>0.13802997982127399</v>
      </c>
      <c r="M56" t="str">
        <f t="shared" si="16"/>
        <v>15/09/2025</v>
      </c>
      <c r="N56" s="7">
        <f t="shared" si="17"/>
        <v>2.04</v>
      </c>
      <c r="O56" s="7">
        <f t="shared" si="18"/>
        <v>69.38</v>
      </c>
      <c r="P56" s="2">
        <f t="shared" si="19"/>
        <v>2.9403286249639667E-2</v>
      </c>
    </row>
    <row r="57" spans="1:16" x14ac:dyDescent="0.35">
      <c r="A57">
        <v>54</v>
      </c>
      <c r="B57" t="s">
        <v>132</v>
      </c>
      <c r="C57" t="s">
        <v>133</v>
      </c>
      <c r="D57" t="s">
        <v>134</v>
      </c>
      <c r="E57" s="2">
        <f t="shared" si="8"/>
        <v>1.26422717974732E-2</v>
      </c>
      <c r="F57" s="2">
        <f t="shared" si="9"/>
        <v>0.64822999999999997</v>
      </c>
      <c r="G57" s="2">
        <f t="shared" si="10"/>
        <v>0.176257478525674</v>
      </c>
      <c r="H57" s="4">
        <f t="shared" si="11"/>
        <v>34.017780000000002</v>
      </c>
      <c r="I57" s="5">
        <f t="shared" si="12"/>
        <v>-0.88907006838969604</v>
      </c>
      <c r="J57" t="str">
        <f t="shared" si="13"/>
        <v>buy</v>
      </c>
      <c r="K57" s="4">
        <f t="shared" si="14"/>
        <v>5</v>
      </c>
      <c r="L57" s="5">
        <f t="shared" si="15"/>
        <v>6.0611821594451901E-2</v>
      </c>
      <c r="M57" t="str">
        <f t="shared" si="16"/>
        <v>04/06/2025</v>
      </c>
      <c r="N57" s="7">
        <f t="shared" si="17"/>
        <v>6</v>
      </c>
      <c r="O57" s="7">
        <f t="shared" si="18"/>
        <v>471.51</v>
      </c>
      <c r="P57" s="2">
        <f t="shared" si="19"/>
        <v>1.2725074759814214E-2</v>
      </c>
    </row>
    <row r="58" spans="1:16" x14ac:dyDescent="0.35">
      <c r="A58">
        <v>55</v>
      </c>
      <c r="B58" t="s">
        <v>22</v>
      </c>
      <c r="C58" t="s">
        <v>135</v>
      </c>
      <c r="D58" t="s">
        <v>136</v>
      </c>
      <c r="E58" s="2">
        <f t="shared" si="8"/>
        <v>-0.231075997945622</v>
      </c>
      <c r="F58" s="2">
        <f t="shared" si="9"/>
        <v>2.1789100000000001</v>
      </c>
      <c r="G58" s="2">
        <f t="shared" si="10"/>
        <v>0.97236491851100204</v>
      </c>
      <c r="H58" s="4">
        <f t="shared" si="11"/>
        <v>47.849769999999999</v>
      </c>
      <c r="I58" s="5">
        <f t="shared" si="12"/>
        <v>-0.12349871297218</v>
      </c>
      <c r="J58" t="str">
        <f t="shared" si="13"/>
        <v>buy</v>
      </c>
      <c r="K58" s="4">
        <f t="shared" si="14"/>
        <v>8</v>
      </c>
      <c r="L58" s="5">
        <f t="shared" si="15"/>
        <v>0.26180711711121202</v>
      </c>
      <c r="M58" t="str">
        <f t="shared" si="16"/>
        <v>15/08/2025</v>
      </c>
      <c r="N58" s="7">
        <f t="shared" si="17"/>
        <v>6</v>
      </c>
      <c r="O58" s="7">
        <f t="shared" si="18"/>
        <v>762.95</v>
      </c>
      <c r="P58" s="2">
        <f t="shared" si="19"/>
        <v>7.8642112851431932E-3</v>
      </c>
    </row>
    <row r="59" spans="1:16" x14ac:dyDescent="0.35">
      <c r="A59">
        <v>56</v>
      </c>
      <c r="B59" t="s">
        <v>47</v>
      </c>
      <c r="C59" t="s">
        <v>137</v>
      </c>
      <c r="D59" t="s">
        <v>138</v>
      </c>
      <c r="E59" s="2">
        <f t="shared" si="8"/>
        <v>-0.17682332114252</v>
      </c>
      <c r="F59" s="2">
        <f t="shared" si="9"/>
        <v>4.0566199999999997</v>
      </c>
      <c r="G59" s="2">
        <f t="shared" si="10"/>
        <v>0.66382441181114704</v>
      </c>
      <c r="H59" s="4">
        <f t="shared" si="11"/>
        <v>25.568462</v>
      </c>
      <c r="I59" s="5">
        <f t="shared" si="12"/>
        <v>1.1583365933041301</v>
      </c>
      <c r="J59" t="str">
        <f t="shared" si="13"/>
        <v>buy</v>
      </c>
      <c r="K59" s="4">
        <f t="shared" si="14"/>
        <v>5</v>
      </c>
      <c r="L59" s="5">
        <f t="shared" si="15"/>
        <v>0.171780163282793</v>
      </c>
      <c r="M59" t="str">
        <f t="shared" si="16"/>
        <v>02/09/2025</v>
      </c>
      <c r="N59" s="7">
        <f t="shared" si="17"/>
        <v>13.2</v>
      </c>
      <c r="O59" s="7">
        <f t="shared" si="18"/>
        <v>420.13</v>
      </c>
      <c r="P59" s="2">
        <f t="shared" si="19"/>
        <v>3.1418846547497201E-2</v>
      </c>
    </row>
    <row r="60" spans="1:16" x14ac:dyDescent="0.35">
      <c r="A60">
        <v>57</v>
      </c>
      <c r="B60" t="s">
        <v>40</v>
      </c>
      <c r="C60" t="s">
        <v>139</v>
      </c>
      <c r="D60" t="s">
        <v>140</v>
      </c>
      <c r="E60" s="2">
        <f t="shared" si="8"/>
        <v>5.85607804205358E-2</v>
      </c>
      <c r="F60" s="2" t="str">
        <f t="shared" si="9"/>
        <v>-</v>
      </c>
      <c r="G60" s="2">
        <f t="shared" si="10"/>
        <v>-0.48064085447263</v>
      </c>
      <c r="H60" s="4">
        <f t="shared" si="11"/>
        <v>21.187190999999999</v>
      </c>
      <c r="I60" s="5">
        <f t="shared" si="12"/>
        <v>28.159386068477001</v>
      </c>
      <c r="J60" t="str">
        <f t="shared" si="13"/>
        <v>buy</v>
      </c>
      <c r="K60" s="4">
        <f t="shared" si="14"/>
        <v>4</v>
      </c>
      <c r="L60" s="5">
        <f t="shared" si="15"/>
        <v>0.14650469483567999</v>
      </c>
      <c r="M60" t="str">
        <f t="shared" si="16"/>
        <v>23/07/2025</v>
      </c>
      <c r="N60" s="7">
        <f t="shared" si="17"/>
        <v>4.8</v>
      </c>
      <c r="O60" s="7">
        <f t="shared" si="18"/>
        <v>230.04</v>
      </c>
      <c r="P60" s="2">
        <f t="shared" si="19"/>
        <v>2.0865936358894107E-2</v>
      </c>
    </row>
    <row r="61" spans="1:16" x14ac:dyDescent="0.35">
      <c r="A61">
        <v>58</v>
      </c>
      <c r="B61" t="s">
        <v>31</v>
      </c>
      <c r="C61" t="s">
        <v>141</v>
      </c>
      <c r="D61" t="s">
        <v>142</v>
      </c>
      <c r="E61" s="2">
        <f t="shared" si="8"/>
        <v>0.23870549265792601</v>
      </c>
      <c r="F61" s="2">
        <f t="shared" si="9"/>
        <v>2.4091900000000002</v>
      </c>
      <c r="G61" s="2">
        <f t="shared" si="10"/>
        <v>2.0949884151117901</v>
      </c>
      <c r="H61" s="4">
        <f t="shared" si="11"/>
        <v>40.168014999999997</v>
      </c>
      <c r="I61" s="5">
        <f t="shared" si="12"/>
        <v>-0.25407956544001398</v>
      </c>
      <c r="J61" t="str">
        <f t="shared" si="13"/>
        <v>buy</v>
      </c>
      <c r="K61" s="4">
        <f t="shared" si="14"/>
        <v>2</v>
      </c>
      <c r="L61" s="5">
        <f t="shared" si="15"/>
        <v>0.117710253497124</v>
      </c>
      <c r="M61" t="str">
        <f t="shared" si="16"/>
        <v>09/07/2025</v>
      </c>
      <c r="N61" s="7">
        <f t="shared" si="17"/>
        <v>3.04</v>
      </c>
      <c r="O61" s="7">
        <f t="shared" si="18"/>
        <v>563.32000000000005</v>
      </c>
      <c r="P61" s="2">
        <f t="shared" si="19"/>
        <v>5.3965774337854143E-3</v>
      </c>
    </row>
    <row r="62" spans="1:16" x14ac:dyDescent="0.35">
      <c r="A62">
        <v>59</v>
      </c>
      <c r="B62" t="s">
        <v>40</v>
      </c>
      <c r="C62" t="s">
        <v>143</v>
      </c>
      <c r="D62" t="s">
        <v>144</v>
      </c>
      <c r="E62" s="2">
        <f t="shared" si="8"/>
        <v>0.11169924318683599</v>
      </c>
      <c r="F62" s="2" t="str">
        <f t="shared" si="9"/>
        <v>-</v>
      </c>
      <c r="G62" s="2">
        <f t="shared" si="10"/>
        <v>-2.2110115742887202</v>
      </c>
      <c r="H62" s="4">
        <f t="shared" si="11"/>
        <v>26.890224</v>
      </c>
      <c r="I62" s="5">
        <f t="shared" si="12"/>
        <v>-5.8437118437118398</v>
      </c>
      <c r="J62" t="str">
        <f t="shared" si="13"/>
        <v>buy</v>
      </c>
      <c r="K62" s="4">
        <f t="shared" si="14"/>
        <v>5</v>
      </c>
      <c r="L62" s="5">
        <f t="shared" si="15"/>
        <v>8.7481944031453401E-2</v>
      </c>
      <c r="M62" t="str">
        <f t="shared" si="16"/>
        <v>02/09/2025</v>
      </c>
      <c r="N62" s="7">
        <f t="shared" si="17"/>
        <v>7.08</v>
      </c>
      <c r="O62" s="7">
        <f t="shared" si="18"/>
        <v>302.67</v>
      </c>
      <c r="P62" s="2">
        <f t="shared" si="19"/>
        <v>2.3391812865497075E-2</v>
      </c>
    </row>
    <row r="63" spans="1:16" x14ac:dyDescent="0.35">
      <c r="A63">
        <v>60</v>
      </c>
      <c r="B63" t="s">
        <v>68</v>
      </c>
      <c r="C63" t="s">
        <v>145</v>
      </c>
      <c r="D63" t="s">
        <v>146</v>
      </c>
      <c r="E63" s="2">
        <f t="shared" si="8"/>
        <v>-0.119937901088709</v>
      </c>
      <c r="F63" s="2">
        <f t="shared" si="9"/>
        <v>0.81933000000000011</v>
      </c>
      <c r="G63" s="2">
        <f t="shared" si="10"/>
        <v>0.13519233387791399</v>
      </c>
      <c r="H63" s="4">
        <f t="shared" si="11"/>
        <v>22.505493000000001</v>
      </c>
      <c r="I63" s="5">
        <f t="shared" si="12"/>
        <v>1.1961733394493801</v>
      </c>
      <c r="J63" t="str">
        <f t="shared" si="13"/>
        <v>buy</v>
      </c>
      <c r="K63" s="4">
        <f t="shared" si="14"/>
        <v>5</v>
      </c>
      <c r="L63" s="5">
        <f t="shared" si="15"/>
        <v>5.6950222349734798E-2</v>
      </c>
      <c r="M63" t="str">
        <f t="shared" si="16"/>
        <v>30/06/2025</v>
      </c>
      <c r="N63" s="7">
        <f t="shared" si="17"/>
        <v>1.88</v>
      </c>
      <c r="O63" s="7">
        <f t="shared" si="18"/>
        <v>69.709999999999994</v>
      </c>
      <c r="P63" s="2">
        <f t="shared" si="19"/>
        <v>2.6968871037153924E-2</v>
      </c>
    </row>
    <row r="64" spans="1:16" x14ac:dyDescent="0.35">
      <c r="A64">
        <v>61</v>
      </c>
      <c r="B64" t="s">
        <v>22</v>
      </c>
      <c r="C64" t="s">
        <v>147</v>
      </c>
      <c r="D64" t="s">
        <v>148</v>
      </c>
      <c r="E64" s="2">
        <f t="shared" si="8"/>
        <v>8.2519115264669998E-2</v>
      </c>
      <c r="F64" s="2">
        <f t="shared" si="9"/>
        <v>0.59436999999999995</v>
      </c>
      <c r="G64" s="2">
        <f t="shared" si="10"/>
        <v>9.7034810594702606E-2</v>
      </c>
      <c r="H64" s="4">
        <f t="shared" si="11"/>
        <v>25.638123</v>
      </c>
      <c r="I64" s="5">
        <f t="shared" si="12"/>
        <v>0.82279136194155</v>
      </c>
      <c r="J64" t="str">
        <f t="shared" si="13"/>
        <v>buy</v>
      </c>
      <c r="K64" s="4">
        <f t="shared" si="14"/>
        <v>5</v>
      </c>
      <c r="L64" s="5">
        <f t="shared" si="15"/>
        <v>4.5239290350497598E-2</v>
      </c>
      <c r="M64" t="str">
        <f t="shared" si="16"/>
        <v>27/06/2025</v>
      </c>
      <c r="N64" s="7">
        <f t="shared" si="17"/>
        <v>2.84</v>
      </c>
      <c r="O64" s="7">
        <f t="shared" si="18"/>
        <v>92.44</v>
      </c>
      <c r="P64" s="2">
        <f t="shared" si="19"/>
        <v>3.0722630895716141E-2</v>
      </c>
    </row>
    <row r="65" spans="1:16" x14ac:dyDescent="0.35">
      <c r="A65">
        <v>62</v>
      </c>
      <c r="B65" t="s">
        <v>31</v>
      </c>
      <c r="C65" t="s">
        <v>149</v>
      </c>
      <c r="D65" t="s">
        <v>150</v>
      </c>
      <c r="E65" s="2">
        <f t="shared" si="8"/>
        <v>8.0263407972075193E-2</v>
      </c>
      <c r="F65" s="2">
        <f t="shared" si="9"/>
        <v>1.71716</v>
      </c>
      <c r="G65" s="2">
        <f t="shared" si="10"/>
        <v>0.14906176221533901</v>
      </c>
      <c r="H65" s="4">
        <f t="shared" si="11"/>
        <v>13.813243</v>
      </c>
      <c r="I65" s="5">
        <f t="shared" si="12"/>
        <v>0.69266802766304203</v>
      </c>
      <c r="J65" t="str">
        <f t="shared" si="13"/>
        <v>buy</v>
      </c>
      <c r="K65" s="4">
        <f t="shared" si="14"/>
        <v>3</v>
      </c>
      <c r="L65" s="5">
        <f t="shared" si="15"/>
        <v>0.21193177136972099</v>
      </c>
      <c r="M65" t="str">
        <f t="shared" si="16"/>
        <v>05/08/2025</v>
      </c>
      <c r="N65" s="7">
        <f t="shared" si="17"/>
        <v>2.27</v>
      </c>
      <c r="O65" s="7">
        <f t="shared" si="18"/>
        <v>77.680000000000007</v>
      </c>
      <c r="P65" s="2">
        <f t="shared" si="19"/>
        <v>2.9222451081359423E-2</v>
      </c>
    </row>
    <row r="66" spans="1:16" x14ac:dyDescent="0.35">
      <c r="A66">
        <v>63</v>
      </c>
      <c r="B66" t="s">
        <v>65</v>
      </c>
      <c r="C66" t="s">
        <v>151</v>
      </c>
      <c r="D66" t="s">
        <v>152</v>
      </c>
      <c r="E66" s="2">
        <f t="shared" si="8"/>
        <v>0.42185914774171102</v>
      </c>
      <c r="F66" s="2">
        <f t="shared" si="9"/>
        <v>0.25406000000000001</v>
      </c>
      <c r="G66" s="2">
        <f t="shared" si="10"/>
        <v>0.391525273323587</v>
      </c>
      <c r="H66" s="4">
        <f t="shared" si="11"/>
        <v>26.813068000000001</v>
      </c>
      <c r="I66" s="5">
        <f t="shared" si="12"/>
        <v>0.66383729725186902</v>
      </c>
      <c r="J66" t="str">
        <f t="shared" si="13"/>
        <v>strong_buy</v>
      </c>
      <c r="K66" s="4">
        <f t="shared" si="14"/>
        <v>10</v>
      </c>
      <c r="L66" s="5">
        <f t="shared" si="15"/>
        <v>8.01817999999999E-2</v>
      </c>
      <c r="M66" t="str">
        <f t="shared" si="16"/>
        <v>16/06/2025</v>
      </c>
      <c r="N66" s="7">
        <f t="shared" si="17"/>
        <v>2.1</v>
      </c>
      <c r="O66" s="7">
        <f t="shared" si="18"/>
        <v>700</v>
      </c>
      <c r="P66" s="2">
        <f t="shared" si="19"/>
        <v>3.0000000000000001E-3</v>
      </c>
    </row>
    <row r="67" spans="1:16" x14ac:dyDescent="0.35">
      <c r="A67">
        <v>64</v>
      </c>
      <c r="B67" t="s">
        <v>47</v>
      </c>
      <c r="C67" t="s">
        <v>153</v>
      </c>
      <c r="D67" t="s">
        <v>154</v>
      </c>
      <c r="E67" s="2">
        <f t="shared" si="8"/>
        <v>0.177723493949801</v>
      </c>
      <c r="F67" s="2">
        <f t="shared" si="9"/>
        <v>3.1675499999999999</v>
      </c>
      <c r="G67" s="2">
        <f t="shared" si="10"/>
        <v>1.0252472837063999</v>
      </c>
      <c r="H67" s="4">
        <f t="shared" si="11"/>
        <v>21.601389000000001</v>
      </c>
      <c r="I67" s="5">
        <f t="shared" si="12"/>
        <v>1.34121077110172</v>
      </c>
      <c r="J67" t="str">
        <f t="shared" si="13"/>
        <v>buy</v>
      </c>
      <c r="K67" s="4">
        <f t="shared" si="14"/>
        <v>4</v>
      </c>
      <c r="L67" s="5">
        <f t="shared" si="15"/>
        <v>6.1660254298702102E-2</v>
      </c>
      <c r="M67" t="str">
        <f t="shared" si="16"/>
        <v>23/05/2025</v>
      </c>
      <c r="N67" s="7">
        <f t="shared" si="17"/>
        <v>2.92</v>
      </c>
      <c r="O67" s="7">
        <f t="shared" si="18"/>
        <v>151.79</v>
      </c>
      <c r="P67" s="2">
        <f t="shared" si="19"/>
        <v>1.9237103893537125E-2</v>
      </c>
    </row>
    <row r="68" spans="1:16" x14ac:dyDescent="0.35">
      <c r="A68">
        <v>65</v>
      </c>
      <c r="B68" t="s">
        <v>68</v>
      </c>
      <c r="C68" t="s">
        <v>155</v>
      </c>
      <c r="D68" t="s">
        <v>156</v>
      </c>
      <c r="E68" s="2">
        <f t="shared" si="8"/>
        <v>0.34563626795873498</v>
      </c>
      <c r="F68" s="2" t="str">
        <f t="shared" si="9"/>
        <v>-</v>
      </c>
      <c r="G68" s="2">
        <f t="shared" si="10"/>
        <v>-3.9155495120643402</v>
      </c>
      <c r="H68" s="4">
        <f t="shared" si="11"/>
        <v>13</v>
      </c>
      <c r="I68" s="5">
        <f t="shared" ref="I68:I104" si="20">_xlfn.NUMBERVALUE(SUBSTITUTE(_xlfn.WEBSERVICE(_xlfn.CONCAT("http://172.31.103.65:5000/symbol/",$C68,"/discountToIntrinsicValueRatio/raw")),".",",",1))</f>
        <v>1.1151414051285999</v>
      </c>
      <c r="J68" t="str">
        <f t="shared" ref="J68:J104" si="21">_xlfn.WEBSERVICE(_xlfn.CONCAT("http://172.31.103.65:5000/symbol/",$C68,"/recommendationKey/raw"))</f>
        <v>hold</v>
      </c>
      <c r="K68" s="4">
        <f t="shared" ref="K68:K104" si="22">_xlfn.NUMBERVALUE(_xlfn.WEBSERVICE(_xlfn.CONCAT("http://172.31.103.65:5000/symbol/",$C68,"/overallRisk/raw")))</f>
        <v>3</v>
      </c>
      <c r="L68" s="5">
        <f t="shared" ref="L68:L104" si="23">_xlfn.NUMBERVALUE(SUBSTITUTE(_xlfn.WEBSERVICE(_xlfn.CONCAT("http://172.31.103.65:5000/symbol/",$C68,"/targetRatio/raw")),".",",",1))</f>
        <v>-1.3839959568733099E-2</v>
      </c>
      <c r="M68" t="str">
        <f t="shared" ref="M68:M104" si="24">_xlfn.WEBSERVICE(_xlfn.CONCAT("http://172.31.103.65:5000/symbol/",$C68,"/exDividendDate/raw"))</f>
        <v>16/06/2025</v>
      </c>
      <c r="N68" s="7">
        <f t="shared" ref="N68:N104" si="25">_xlfn.NUMBERVALUE(SUBSTITUTE(SUBSTITUTE(_xlfn.WEBSERVICE(_xlfn.CONCAT("http://172.31.103.65:5000/symbol/",$C68,"/dividendRate/raw")),".",",",1),"-","0", 1))</f>
        <v>4.08</v>
      </c>
      <c r="O68" s="7">
        <f t="shared" ref="O68:O104" si="26">_xlfn.NUMBERVALUE(SUBSTITUTE(_xlfn.WEBSERVICE(_xlfn.CONCAT("http://172.31.103.65:5000/symbol/",$C68,"/currentPrice/raw")),".",",",1))</f>
        <v>59.36</v>
      </c>
      <c r="P68" s="2">
        <f t="shared" ref="P68:P99" si="27">N68/O68</f>
        <v>6.8733153638814021E-2</v>
      </c>
    </row>
    <row r="69" spans="1:16" x14ac:dyDescent="0.35">
      <c r="A69">
        <v>66</v>
      </c>
      <c r="B69" t="s">
        <v>22</v>
      </c>
      <c r="C69" t="s">
        <v>157</v>
      </c>
      <c r="D69" t="s">
        <v>158</v>
      </c>
      <c r="E69" s="2">
        <f t="shared" ref="E69:E104" si="28">IFERROR(_xlfn.NUMBERVALUE(SUBSTITUTE(_xlfn.WEBSERVICE(_xlfn.CONCAT("http://172.31.103.65:5000/symbol/",$C69,"/annualGrowthRatio/raw")),".",",",1)),"-")</f>
        <v>-0.26584936942734</v>
      </c>
      <c r="F69" s="2">
        <f t="shared" ref="F69:F104" si="29">IFERROR(_xlfn.NUMBERVALUE(SUBSTITUTE(_xlfn.WEBSERVICE(_xlfn.CONCAT("http://172.31.103.65:5000/symbol/",$C69,"/debtToEquityPercentage/raw")),".",",",1))/100,"-")</f>
        <v>0.72160999999999997</v>
      </c>
      <c r="G69" s="2">
        <f t="shared" ref="G69:G104" si="30">IFERROR(_xlfn.NUMBERVALUE(SUBSTITUTE(_xlfn.WEBSERVICE(_xlfn.CONCAT("http://172.31.103.65:5000/symbol/",$C69,"/ROE/raw")),".",",",1)),"-")</f>
        <v>0.35424178127091699</v>
      </c>
      <c r="H69" s="4">
        <f t="shared" ref="H69:H104" si="31">IFERROR(_xlfn.NUMBERVALUE(SUBSTITUTE(_xlfn.WEBSERVICE(_xlfn.CONCAT("http://172.31.103.65:5000/symbol/",$C69,"/PERatio/raw")),".",",",1)), "-")</f>
        <v>12.96148</v>
      </c>
      <c r="I69" s="5">
        <f t="shared" si="20"/>
        <v>0.48892874814448301</v>
      </c>
      <c r="J69" t="str">
        <f t="shared" si="21"/>
        <v>buy</v>
      </c>
      <c r="K69" s="4">
        <f t="shared" si="22"/>
        <v>3</v>
      </c>
      <c r="L69" s="5">
        <f t="shared" si="23"/>
        <v>0.23170337649764</v>
      </c>
      <c r="M69" t="str">
        <f t="shared" si="24"/>
        <v>15/09/2025</v>
      </c>
      <c r="N69" s="7">
        <f t="shared" si="25"/>
        <v>3.24</v>
      </c>
      <c r="O69" s="7">
        <f t="shared" si="26"/>
        <v>82.63</v>
      </c>
      <c r="P69" s="2">
        <f t="shared" si="27"/>
        <v>3.9210940336439556E-2</v>
      </c>
    </row>
    <row r="70" spans="1:16" x14ac:dyDescent="0.35">
      <c r="A70">
        <v>67</v>
      </c>
      <c r="B70" t="s">
        <v>31</v>
      </c>
      <c r="C70" t="s">
        <v>159</v>
      </c>
      <c r="D70" t="s">
        <v>160</v>
      </c>
      <c r="E70" s="2">
        <f t="shared" si="28"/>
        <v>0.49573602591958998</v>
      </c>
      <c r="F70" s="2">
        <f t="shared" si="29"/>
        <v>4.3854100000000003</v>
      </c>
      <c r="G70" s="2">
        <f t="shared" si="30"/>
        <v>0.13530632832907499</v>
      </c>
      <c r="H70" s="4">
        <f t="shared" si="31"/>
        <v>17.041903000000001</v>
      </c>
      <c r="I70" s="5">
        <f t="shared" si="20"/>
        <v>0.61702014138988903</v>
      </c>
      <c r="J70" t="str">
        <f t="shared" si="21"/>
        <v>buy</v>
      </c>
      <c r="K70" s="4">
        <f t="shared" si="22"/>
        <v>7</v>
      </c>
      <c r="L70" s="5">
        <f t="shared" si="23"/>
        <v>-2.50766230147682E-3</v>
      </c>
      <c r="M70" t="str">
        <f t="shared" si="24"/>
        <v>31/07/2025</v>
      </c>
      <c r="N70" s="7">
        <f t="shared" si="25"/>
        <v>4</v>
      </c>
      <c r="O70" s="7">
        <f t="shared" si="26"/>
        <v>143.56</v>
      </c>
      <c r="P70" s="2">
        <f t="shared" si="27"/>
        <v>2.7862914460852605E-2</v>
      </c>
    </row>
    <row r="71" spans="1:16" x14ac:dyDescent="0.35">
      <c r="A71">
        <v>68</v>
      </c>
      <c r="B71" t="s">
        <v>19</v>
      </c>
      <c r="C71" t="s">
        <v>161</v>
      </c>
      <c r="D71" t="s">
        <v>162</v>
      </c>
      <c r="E71" s="2">
        <f t="shared" si="28"/>
        <v>0.22379525008863399</v>
      </c>
      <c r="F71" s="2">
        <f t="shared" si="29"/>
        <v>0.32661000000000001</v>
      </c>
      <c r="G71" s="2">
        <f t="shared" si="30"/>
        <v>0.29647227192346498</v>
      </c>
      <c r="H71" s="4">
        <f t="shared" si="31"/>
        <v>37.174613999999998</v>
      </c>
      <c r="I71" s="5">
        <f t="shared" si="20"/>
        <v>9.6296113457971497E-2</v>
      </c>
      <c r="J71" t="str">
        <f t="shared" si="21"/>
        <v>strong_buy</v>
      </c>
      <c r="K71" s="4">
        <f t="shared" si="22"/>
        <v>3</v>
      </c>
      <c r="L71" s="5">
        <f t="shared" si="23"/>
        <v>7.2825175098035294E-2</v>
      </c>
      <c r="M71" t="str">
        <f t="shared" si="24"/>
        <v>21/08/2025</v>
      </c>
      <c r="N71" s="7">
        <f t="shared" si="25"/>
        <v>3.32</v>
      </c>
      <c r="O71" s="7">
        <f t="shared" si="26"/>
        <v>512.57000000000005</v>
      </c>
      <c r="P71" s="2">
        <f t="shared" si="27"/>
        <v>6.4771640946602402E-3</v>
      </c>
    </row>
    <row r="72" spans="1:16" x14ac:dyDescent="0.35">
      <c r="A72">
        <v>69</v>
      </c>
      <c r="B72" t="s">
        <v>94</v>
      </c>
      <c r="C72" t="s">
        <v>163</v>
      </c>
      <c r="D72" t="s">
        <v>164</v>
      </c>
      <c r="E72" s="2">
        <f t="shared" si="28"/>
        <v>-7.7228415080132604E-2</v>
      </c>
      <c r="F72" s="2">
        <f t="shared" si="29"/>
        <v>1.52939</v>
      </c>
      <c r="G72" s="2">
        <f t="shared" si="30"/>
        <v>0.118121397337378</v>
      </c>
      <c r="H72" s="4">
        <f t="shared" si="31"/>
        <v>25.104531999999999</v>
      </c>
      <c r="I72" s="5">
        <f t="shared" si="20"/>
        <v>0.55785385518254205</v>
      </c>
      <c r="J72" t="str">
        <f t="shared" si="21"/>
        <v>buy</v>
      </c>
      <c r="K72" s="4">
        <f t="shared" si="22"/>
        <v>5</v>
      </c>
      <c r="L72" s="5">
        <f t="shared" si="23"/>
        <v>0.14092383599722</v>
      </c>
      <c r="M72" t="str">
        <f t="shared" si="24"/>
        <v>28/08/2025</v>
      </c>
      <c r="N72" s="7">
        <f t="shared" si="25"/>
        <v>2.27</v>
      </c>
      <c r="O72" s="7">
        <f t="shared" si="26"/>
        <v>71.95</v>
      </c>
      <c r="P72" s="2">
        <f t="shared" si="27"/>
        <v>3.1549687282835304E-2</v>
      </c>
    </row>
    <row r="73" spans="1:16" x14ac:dyDescent="0.35">
      <c r="A73">
        <v>70</v>
      </c>
      <c r="B73" t="s">
        <v>65</v>
      </c>
      <c r="C73" t="s">
        <v>165</v>
      </c>
      <c r="D73" t="s">
        <v>166</v>
      </c>
      <c r="E73" s="2">
        <f t="shared" si="28"/>
        <v>0.72274904407115204</v>
      </c>
      <c r="F73" s="2">
        <f t="shared" si="29"/>
        <v>0.67866000000000004</v>
      </c>
      <c r="G73" s="2">
        <f t="shared" si="30"/>
        <v>0.41416339366106703</v>
      </c>
      <c r="H73" s="4">
        <f t="shared" si="31"/>
        <v>51.546500000000002</v>
      </c>
      <c r="I73" s="5">
        <f t="shared" si="20"/>
        <v>0.51741232519853797</v>
      </c>
      <c r="J73" t="str">
        <f t="shared" si="21"/>
        <v>buy</v>
      </c>
      <c r="K73" s="4">
        <f t="shared" si="22"/>
        <v>9</v>
      </c>
      <c r="L73" s="5">
        <f t="shared" si="23"/>
        <v>0.155360473672502</v>
      </c>
      <c r="M73" t="str">
        <f t="shared" si="24"/>
        <v>-</v>
      </c>
      <c r="N73" s="7">
        <f t="shared" si="25"/>
        <v>0</v>
      </c>
      <c r="O73" s="7">
        <f t="shared" si="26"/>
        <v>1168.74</v>
      </c>
      <c r="P73" s="2">
        <f t="shared" si="27"/>
        <v>0</v>
      </c>
    </row>
    <row r="74" spans="1:16" x14ac:dyDescent="0.35">
      <c r="A74">
        <v>71</v>
      </c>
      <c r="B74" t="s">
        <v>40</v>
      </c>
      <c r="C74" t="s">
        <v>167</v>
      </c>
      <c r="D74" t="s">
        <v>168</v>
      </c>
      <c r="E74" s="2">
        <f t="shared" si="28"/>
        <v>-5.1502023441770198E-2</v>
      </c>
      <c r="F74" s="2">
        <f t="shared" si="29"/>
        <v>0.83409999999999995</v>
      </c>
      <c r="G74" s="2">
        <f t="shared" si="30"/>
        <v>0.243623708771664</v>
      </c>
      <c r="H74" s="4">
        <f t="shared" si="31"/>
        <v>35.819443</v>
      </c>
      <c r="I74" s="5">
        <f t="shared" si="20"/>
        <v>1.2212561860212801</v>
      </c>
      <c r="J74" t="str">
        <f t="shared" si="21"/>
        <v>buy</v>
      </c>
      <c r="K74" s="4">
        <f t="shared" si="22"/>
        <v>10</v>
      </c>
      <c r="L74" s="5">
        <f t="shared" si="23"/>
        <v>-8.9839142091152902E-3</v>
      </c>
      <c r="M74" t="str">
        <f t="shared" si="24"/>
        <v>02/06/2025</v>
      </c>
      <c r="N74" s="7">
        <f t="shared" si="25"/>
        <v>1.6</v>
      </c>
      <c r="O74" s="7">
        <f t="shared" si="26"/>
        <v>78.33</v>
      </c>
      <c r="P74" s="2">
        <f t="shared" si="27"/>
        <v>2.0426401123452065E-2</v>
      </c>
    </row>
    <row r="75" spans="1:16" x14ac:dyDescent="0.35">
      <c r="A75">
        <v>72</v>
      </c>
      <c r="B75" t="s">
        <v>19</v>
      </c>
      <c r="C75" t="s">
        <v>169</v>
      </c>
      <c r="D75" t="s">
        <v>170</v>
      </c>
      <c r="E75" s="2">
        <f t="shared" si="28"/>
        <v>7.3052631578947397E-2</v>
      </c>
      <c r="F75" s="2">
        <f t="shared" si="29"/>
        <v>0.22036</v>
      </c>
      <c r="G75" s="2">
        <f t="shared" si="30"/>
        <v>0.172858771568321</v>
      </c>
      <c r="H75" s="4">
        <f t="shared" si="31"/>
        <v>114.969925</v>
      </c>
      <c r="I75" s="5">
        <f t="shared" si="20"/>
        <v>-0.238419431663736</v>
      </c>
      <c r="J75" t="str">
        <f t="shared" si="21"/>
        <v>strong_buy</v>
      </c>
      <c r="K75" s="4">
        <f t="shared" si="22"/>
        <v>3</v>
      </c>
      <c r="L75" s="5">
        <f t="shared" si="23"/>
        <v>0.15696355215465099</v>
      </c>
      <c r="M75" t="str">
        <f t="shared" si="24"/>
        <v>-</v>
      </c>
      <c r="N75" s="7">
        <f t="shared" si="25"/>
        <v>0</v>
      </c>
      <c r="O75" s="7">
        <f t="shared" si="26"/>
        <v>993.2</v>
      </c>
      <c r="P75" s="2">
        <f t="shared" si="27"/>
        <v>0</v>
      </c>
    </row>
    <row r="76" spans="1:16" x14ac:dyDescent="0.35">
      <c r="A76">
        <v>73</v>
      </c>
      <c r="B76" t="s">
        <v>19</v>
      </c>
      <c r="C76" t="s">
        <v>171</v>
      </c>
      <c r="D76" t="s">
        <v>172</v>
      </c>
      <c r="E76" s="2">
        <f t="shared" si="28"/>
        <v>0.45962150546213898</v>
      </c>
      <c r="F76" s="2">
        <f t="shared" si="29"/>
        <v>0.10583999999999999</v>
      </c>
      <c r="G76" s="2">
        <f t="shared" si="30"/>
        <v>1.0916459870661901</v>
      </c>
      <c r="H76" s="4">
        <f t="shared" si="31"/>
        <v>49.482951999999997</v>
      </c>
      <c r="I76" s="5">
        <f t="shared" si="20"/>
        <v>8.2401409518432001E-2</v>
      </c>
      <c r="J76" t="str">
        <f t="shared" si="21"/>
        <v>strong_buy</v>
      </c>
      <c r="K76" s="4">
        <f t="shared" si="22"/>
        <v>8</v>
      </c>
      <c r="L76" s="5">
        <f t="shared" si="23"/>
        <v>2.7576776252065401E-2</v>
      </c>
      <c r="M76" t="str">
        <f t="shared" si="24"/>
        <v>11/06/2025</v>
      </c>
      <c r="N76" s="7">
        <f t="shared" si="25"/>
        <v>0.04</v>
      </c>
      <c r="O76" s="7">
        <f t="shared" si="26"/>
        <v>175.51</v>
      </c>
      <c r="P76" s="2">
        <f t="shared" si="27"/>
        <v>2.2790724175260671E-4</v>
      </c>
    </row>
    <row r="77" spans="1:16" x14ac:dyDescent="0.35">
      <c r="A77">
        <v>74</v>
      </c>
      <c r="B77" t="s">
        <v>19</v>
      </c>
      <c r="C77" t="s">
        <v>173</v>
      </c>
      <c r="D77" t="s">
        <v>174</v>
      </c>
      <c r="E77" s="2">
        <f t="shared" si="28"/>
        <v>0.61721398191450005</v>
      </c>
      <c r="F77" s="2">
        <f t="shared" si="29"/>
        <v>5.1958599999999997</v>
      </c>
      <c r="G77" s="2">
        <f t="shared" si="30"/>
        <v>0.60842989623979205</v>
      </c>
      <c r="H77" s="4">
        <f t="shared" si="31"/>
        <v>52.103687000000001</v>
      </c>
      <c r="I77" s="5">
        <f t="shared" si="20"/>
        <v>-1.49922517820901</v>
      </c>
      <c r="J77" t="str">
        <f t="shared" si="21"/>
        <v>buy</v>
      </c>
      <c r="K77" s="4">
        <f t="shared" si="22"/>
        <v>10</v>
      </c>
      <c r="L77" s="5">
        <f t="shared" si="23"/>
        <v>-6.24591167293383E-2</v>
      </c>
      <c r="M77" t="str">
        <f t="shared" si="24"/>
        <v>10/07/2025</v>
      </c>
      <c r="N77" s="7">
        <f t="shared" si="25"/>
        <v>2</v>
      </c>
      <c r="O77" s="7">
        <f t="shared" si="26"/>
        <v>249.98</v>
      </c>
      <c r="P77" s="2">
        <f t="shared" si="27"/>
        <v>8.0006400512040964E-3</v>
      </c>
    </row>
    <row r="78" spans="1:16" x14ac:dyDescent="0.35">
      <c r="A78">
        <v>75</v>
      </c>
      <c r="B78" t="s">
        <v>68</v>
      </c>
      <c r="C78" t="s">
        <v>175</v>
      </c>
      <c r="D78" t="s">
        <v>176</v>
      </c>
      <c r="E78" s="2">
        <f t="shared" si="28"/>
        <v>-0.108832776174278</v>
      </c>
      <c r="F78" s="2">
        <f t="shared" si="29"/>
        <v>2.7686799999999998</v>
      </c>
      <c r="G78" s="2">
        <f t="shared" si="30"/>
        <v>0.41849122155091101</v>
      </c>
      <c r="H78" s="4">
        <f t="shared" si="31"/>
        <v>27.076502000000001</v>
      </c>
      <c r="I78" s="5">
        <f t="shared" si="20"/>
        <v>1.24067467187189</v>
      </c>
      <c r="J78" t="str">
        <f t="shared" si="21"/>
        <v>hold</v>
      </c>
      <c r="K78" s="4">
        <f t="shared" si="22"/>
        <v>4</v>
      </c>
      <c r="L78" s="5">
        <f t="shared" si="23"/>
        <v>6.0882966154701602E-2</v>
      </c>
      <c r="M78" t="str">
        <f t="shared" si="24"/>
        <v>05/09/2025</v>
      </c>
      <c r="N78" s="7">
        <f t="shared" si="25"/>
        <v>5.69</v>
      </c>
      <c r="O78" s="7">
        <f t="shared" si="26"/>
        <v>143.88999999999999</v>
      </c>
      <c r="P78" s="2">
        <f t="shared" si="27"/>
        <v>3.9544096184585452E-2</v>
      </c>
    </row>
    <row r="79" spans="1:16" x14ac:dyDescent="0.35">
      <c r="A79">
        <v>76</v>
      </c>
      <c r="B79" t="s">
        <v>22</v>
      </c>
      <c r="C79" t="s">
        <v>177</v>
      </c>
      <c r="D79" t="s">
        <v>178</v>
      </c>
      <c r="E79" s="2">
        <f t="shared" si="28"/>
        <v>-8.6612955610981396E-2</v>
      </c>
      <c r="F79" s="2">
        <f t="shared" si="29"/>
        <v>0.69703000000000004</v>
      </c>
      <c r="G79" s="2">
        <f t="shared" si="30"/>
        <v>0.121628510232078</v>
      </c>
      <c r="H79" s="4">
        <f t="shared" si="31"/>
        <v>13.100529999999999</v>
      </c>
      <c r="I79" s="5">
        <f t="shared" si="20"/>
        <v>9.3850931677018608</v>
      </c>
      <c r="J79" t="str">
        <f t="shared" si="21"/>
        <v>buy</v>
      </c>
      <c r="K79" s="4">
        <f t="shared" si="22"/>
        <v>9</v>
      </c>
      <c r="L79" s="5">
        <f t="shared" si="23"/>
        <v>0.179947736625514</v>
      </c>
      <c r="M79" t="str">
        <f t="shared" si="24"/>
        <v>25/07/2025</v>
      </c>
      <c r="N79" s="7">
        <f t="shared" si="25"/>
        <v>1.72</v>
      </c>
      <c r="O79" s="7">
        <f t="shared" si="26"/>
        <v>24.3</v>
      </c>
      <c r="P79" s="2">
        <f t="shared" si="27"/>
        <v>7.0781893004115221E-2</v>
      </c>
    </row>
    <row r="80" spans="1:16" x14ac:dyDescent="0.35">
      <c r="A80">
        <v>77</v>
      </c>
      <c r="B80" t="s">
        <v>68</v>
      </c>
      <c r="C80" t="s">
        <v>179</v>
      </c>
      <c r="D80" t="s">
        <v>180</v>
      </c>
      <c r="E80" s="2">
        <f t="shared" si="28"/>
        <v>-6.1380479603910597E-2</v>
      </c>
      <c r="F80" s="2">
        <f t="shared" si="29"/>
        <v>0.69861000000000006</v>
      </c>
      <c r="G80" s="2">
        <f t="shared" si="30"/>
        <v>0.30152657694378199</v>
      </c>
      <c r="H80" s="4">
        <f t="shared" si="31"/>
        <v>24.085888000000001</v>
      </c>
      <c r="I80" s="5">
        <f t="shared" si="20"/>
        <v>-1.2395252395252301</v>
      </c>
      <c r="J80" t="str">
        <f t="shared" si="21"/>
        <v>buy</v>
      </c>
      <c r="K80" s="4">
        <f t="shared" si="22"/>
        <v>2</v>
      </c>
      <c r="L80" s="5">
        <f t="shared" si="23"/>
        <v>9.6445310005746701E-2</v>
      </c>
      <c r="M80" t="str">
        <f t="shared" si="24"/>
        <v>18/07/2025</v>
      </c>
      <c r="N80" s="7">
        <f t="shared" si="25"/>
        <v>4.2300000000000004</v>
      </c>
      <c r="O80" s="7">
        <f t="shared" si="26"/>
        <v>156.61000000000001</v>
      </c>
      <c r="P80" s="2">
        <f t="shared" si="27"/>
        <v>2.7009769491092524E-2</v>
      </c>
    </row>
    <row r="81" spans="1:16" x14ac:dyDescent="0.35">
      <c r="A81">
        <v>78</v>
      </c>
      <c r="B81" t="s">
        <v>19</v>
      </c>
      <c r="C81" t="s">
        <v>181</v>
      </c>
      <c r="D81" t="s">
        <v>182</v>
      </c>
      <c r="E81" s="2">
        <f t="shared" si="28"/>
        <v>3.9780813938622801</v>
      </c>
      <c r="F81" s="2">
        <f t="shared" si="29"/>
        <v>3.9469999999999998E-2</v>
      </c>
      <c r="G81" s="2">
        <f t="shared" si="30"/>
        <v>0.15255848059520999</v>
      </c>
      <c r="H81" s="4">
        <f t="shared" si="31"/>
        <v>522.36663999999996</v>
      </c>
      <c r="I81" s="5">
        <f t="shared" si="20"/>
        <v>-2.1223021582733801</v>
      </c>
      <c r="J81" t="str">
        <f t="shared" si="21"/>
        <v>hold</v>
      </c>
      <c r="K81" s="4">
        <f t="shared" si="22"/>
        <v>10</v>
      </c>
      <c r="L81" s="5">
        <f t="shared" si="23"/>
        <v>-0.292504544290834</v>
      </c>
      <c r="M81" t="str">
        <f t="shared" si="24"/>
        <v>-</v>
      </c>
      <c r="N81" s="7">
        <f t="shared" si="25"/>
        <v>0</v>
      </c>
      <c r="O81" s="7">
        <f t="shared" si="26"/>
        <v>156.24</v>
      </c>
      <c r="P81" s="2">
        <f t="shared" si="27"/>
        <v>0</v>
      </c>
    </row>
    <row r="82" spans="1:16" x14ac:dyDescent="0.35">
      <c r="A82">
        <v>79</v>
      </c>
      <c r="B82" t="s">
        <v>68</v>
      </c>
      <c r="C82" t="s">
        <v>183</v>
      </c>
      <c r="D82" t="s">
        <v>184</v>
      </c>
      <c r="E82" s="2">
        <f t="shared" si="28"/>
        <v>0.40877660009928102</v>
      </c>
      <c r="F82" s="2" t="str">
        <f t="shared" si="29"/>
        <v>-</v>
      </c>
      <c r="G82" s="2">
        <f t="shared" si="30"/>
        <v>-0.69846809055319103</v>
      </c>
      <c r="H82" s="4">
        <f t="shared" si="31"/>
        <v>24.76</v>
      </c>
      <c r="I82" s="5">
        <f t="shared" si="20"/>
        <v>0.60667029182526699</v>
      </c>
      <c r="J82" t="str">
        <f t="shared" si="21"/>
        <v>buy</v>
      </c>
      <c r="K82" s="4">
        <f t="shared" si="22"/>
        <v>4</v>
      </c>
      <c r="L82" s="5">
        <f t="shared" si="23"/>
        <v>0.14784946236559099</v>
      </c>
      <c r="M82" t="str">
        <f t="shared" si="24"/>
        <v>27/06/2025</v>
      </c>
      <c r="N82" s="7">
        <f t="shared" si="25"/>
        <v>5.4</v>
      </c>
      <c r="O82" s="7">
        <f t="shared" si="26"/>
        <v>162.75</v>
      </c>
      <c r="P82" s="2">
        <f t="shared" si="27"/>
        <v>3.3179723502304151E-2</v>
      </c>
    </row>
    <row r="83" spans="1:16" x14ac:dyDescent="0.35">
      <c r="A83">
        <v>80</v>
      </c>
      <c r="B83" t="s">
        <v>31</v>
      </c>
      <c r="C83" t="s">
        <v>185</v>
      </c>
      <c r="D83" t="s">
        <v>186</v>
      </c>
      <c r="E83" s="2">
        <f t="shared" si="28"/>
        <v>-3.092641579094E-2</v>
      </c>
      <c r="F83" s="2">
        <f t="shared" si="29"/>
        <v>0.60253999999999996</v>
      </c>
      <c r="G83" s="2">
        <f t="shared" si="30"/>
        <v>0.229171771758828</v>
      </c>
      <c r="H83" s="4">
        <f t="shared" si="31"/>
        <v>15.029979000000001</v>
      </c>
      <c r="I83" s="5">
        <f t="shared" si="20"/>
        <v>0.86541341345112399</v>
      </c>
      <c r="J83" t="str">
        <f t="shared" si="21"/>
        <v>buy</v>
      </c>
      <c r="K83" s="4">
        <f t="shared" si="22"/>
        <v>2</v>
      </c>
      <c r="L83" s="5">
        <f t="shared" si="23"/>
        <v>0.163586284114765</v>
      </c>
      <c r="M83" t="str">
        <f t="shared" si="24"/>
        <v>-</v>
      </c>
      <c r="N83" s="7">
        <f t="shared" si="25"/>
        <v>0</v>
      </c>
      <c r="O83" s="7">
        <f t="shared" si="26"/>
        <v>71.45</v>
      </c>
      <c r="P83" s="2">
        <f t="shared" si="27"/>
        <v>0</v>
      </c>
    </row>
    <row r="84" spans="1:16" x14ac:dyDescent="0.35">
      <c r="A84">
        <v>81</v>
      </c>
      <c r="B84" t="s">
        <v>19</v>
      </c>
      <c r="C84" t="s">
        <v>187</v>
      </c>
      <c r="D84" t="s">
        <v>188</v>
      </c>
      <c r="E84" s="2">
        <f t="shared" si="28"/>
        <v>-6.2964740912486605E-2</v>
      </c>
      <c r="F84" s="2">
        <f t="shared" si="29"/>
        <v>0.54349999999999998</v>
      </c>
      <c r="G84" s="2">
        <f t="shared" si="30"/>
        <v>0.44047347918093899</v>
      </c>
      <c r="H84" s="4">
        <f t="shared" si="31"/>
        <v>15.499517000000001</v>
      </c>
      <c r="I84" s="5">
        <f t="shared" si="20"/>
        <v>0.685296830250958</v>
      </c>
      <c r="J84" t="str">
        <f t="shared" si="21"/>
        <v>buy</v>
      </c>
      <c r="K84" s="4">
        <f t="shared" si="22"/>
        <v>2</v>
      </c>
      <c r="L84" s="5">
        <f t="shared" si="23"/>
        <v>8.7094644619940695E-2</v>
      </c>
      <c r="M84" t="str">
        <f t="shared" si="24"/>
        <v>04/09/2025</v>
      </c>
      <c r="N84" s="7">
        <f t="shared" si="25"/>
        <v>3.56</v>
      </c>
      <c r="O84" s="7">
        <f t="shared" si="26"/>
        <v>162.08000000000001</v>
      </c>
      <c r="P84" s="2">
        <f t="shared" si="27"/>
        <v>2.1964461994076999E-2</v>
      </c>
    </row>
    <row r="85" spans="1:16" x14ac:dyDescent="0.35">
      <c r="A85">
        <v>82</v>
      </c>
      <c r="B85" t="s">
        <v>47</v>
      </c>
      <c r="C85" t="s">
        <v>189</v>
      </c>
      <c r="D85" t="s">
        <v>190</v>
      </c>
      <c r="E85" s="2">
        <f t="shared" si="28"/>
        <v>0.31164220190374697</v>
      </c>
      <c r="F85" s="2">
        <f t="shared" si="29"/>
        <v>0.67854999999999999</v>
      </c>
      <c r="G85" s="2">
        <f t="shared" si="30"/>
        <v>0.10216769519249901</v>
      </c>
      <c r="H85" s="4">
        <f t="shared" si="31"/>
        <v>34.857143000000001</v>
      </c>
      <c r="I85" s="5">
        <f t="shared" si="20"/>
        <v>0.98794607649085897</v>
      </c>
      <c r="J85" t="str">
        <f t="shared" si="21"/>
        <v>buy</v>
      </c>
      <c r="K85" s="4">
        <f t="shared" si="22"/>
        <v>2</v>
      </c>
      <c r="L85" s="5">
        <f t="shared" si="23"/>
        <v>4.71219450101832E-2</v>
      </c>
      <c r="M85" t="str">
        <f t="shared" si="24"/>
        <v>15/08/2025</v>
      </c>
      <c r="N85" s="7">
        <f t="shared" si="25"/>
        <v>2.72</v>
      </c>
      <c r="O85" s="7">
        <f t="shared" si="26"/>
        <v>157.12</v>
      </c>
      <c r="P85" s="2">
        <f t="shared" si="27"/>
        <v>1.7311608961303463E-2</v>
      </c>
    </row>
    <row r="86" spans="1:16" x14ac:dyDescent="0.35">
      <c r="A86">
        <v>83</v>
      </c>
      <c r="B86" t="s">
        <v>40</v>
      </c>
      <c r="C86" t="s">
        <v>191</v>
      </c>
      <c r="D86" t="s">
        <v>192</v>
      </c>
      <c r="E86" s="2">
        <f t="shared" si="28"/>
        <v>-4.3692582206481999E-2</v>
      </c>
      <c r="F86" s="2" t="str">
        <f t="shared" si="29"/>
        <v>-</v>
      </c>
      <c r="G86" s="2">
        <f t="shared" si="30"/>
        <v>-0.35339444374337098</v>
      </c>
      <c r="H86" s="4">
        <f t="shared" si="31"/>
        <v>38.177489999999999</v>
      </c>
      <c r="I86" s="5">
        <f t="shared" si="20"/>
        <v>1.3670318823413199</v>
      </c>
      <c r="J86" t="str">
        <f t="shared" si="21"/>
        <v>buy</v>
      </c>
      <c r="K86" s="4">
        <f t="shared" si="22"/>
        <v>8</v>
      </c>
      <c r="L86" s="5">
        <f t="shared" si="23"/>
        <v>1.8235477624784901E-2</v>
      </c>
      <c r="M86" t="str">
        <f t="shared" si="24"/>
        <v>15/08/2025</v>
      </c>
      <c r="N86" s="7">
        <f t="shared" si="25"/>
        <v>2.44</v>
      </c>
      <c r="O86" s="7">
        <f t="shared" si="26"/>
        <v>92.96</v>
      </c>
      <c r="P86" s="2">
        <f t="shared" si="27"/>
        <v>2.6247848537005163E-2</v>
      </c>
    </row>
    <row r="87" spans="1:16" x14ac:dyDescent="0.35">
      <c r="A87">
        <v>84</v>
      </c>
      <c r="B87" t="s">
        <v>31</v>
      </c>
      <c r="C87" t="s">
        <v>193</v>
      </c>
      <c r="D87" t="s">
        <v>194</v>
      </c>
      <c r="E87" s="2">
        <f t="shared" si="28"/>
        <v>0.49110248214781499</v>
      </c>
      <c r="F87" s="2">
        <f t="shared" si="29"/>
        <v>1.11866</v>
      </c>
      <c r="G87" s="2">
        <f t="shared" si="30"/>
        <v>0.14034108924031</v>
      </c>
      <c r="H87" s="4">
        <f t="shared" si="31"/>
        <v>25.763439999999999</v>
      </c>
      <c r="I87" s="5">
        <f t="shared" si="20"/>
        <v>0.80604353372794202</v>
      </c>
      <c r="J87" t="str">
        <f t="shared" si="21"/>
        <v>buy</v>
      </c>
      <c r="K87" s="4">
        <f t="shared" si="22"/>
        <v>9</v>
      </c>
      <c r="L87" s="5">
        <f t="shared" si="23"/>
        <v>9.3975181288938794E-2</v>
      </c>
      <c r="M87" t="str">
        <f t="shared" si="24"/>
        <v>08/08/2025</v>
      </c>
      <c r="N87" s="7">
        <f t="shared" si="25"/>
        <v>1.08</v>
      </c>
      <c r="O87" s="7">
        <f t="shared" si="26"/>
        <v>97.91</v>
      </c>
      <c r="P87" s="2">
        <f t="shared" si="27"/>
        <v>1.1030538249412728E-2</v>
      </c>
    </row>
    <row r="88" spans="1:16" x14ac:dyDescent="0.35">
      <c r="A88">
        <v>85</v>
      </c>
      <c r="B88" t="s">
        <v>94</v>
      </c>
      <c r="C88" t="s">
        <v>195</v>
      </c>
      <c r="D88" t="s">
        <v>196</v>
      </c>
      <c r="E88" s="2">
        <f t="shared" si="28"/>
        <v>0.10406811413585799</v>
      </c>
      <c r="F88" s="2">
        <f t="shared" si="29"/>
        <v>1.89663</v>
      </c>
      <c r="G88" s="2">
        <f t="shared" si="30"/>
        <v>0.12897494772344001</v>
      </c>
      <c r="H88" s="4">
        <f t="shared" si="31"/>
        <v>23.85013</v>
      </c>
      <c r="I88" s="5">
        <f t="shared" si="20"/>
        <v>0.47517847790732898</v>
      </c>
      <c r="J88" t="str">
        <f t="shared" si="21"/>
        <v>buy</v>
      </c>
      <c r="K88" s="4">
        <f t="shared" si="22"/>
        <v>1</v>
      </c>
      <c r="L88" s="5">
        <f t="shared" si="23"/>
        <v>4.0265756302520998E-3</v>
      </c>
      <c r="M88" t="str">
        <f t="shared" si="24"/>
        <v>18/08/2025</v>
      </c>
      <c r="N88" s="7">
        <f t="shared" si="25"/>
        <v>2.96</v>
      </c>
      <c r="O88" s="7">
        <f t="shared" si="26"/>
        <v>95.2</v>
      </c>
      <c r="P88" s="2">
        <f t="shared" si="27"/>
        <v>3.1092436974789913E-2</v>
      </c>
    </row>
    <row r="89" spans="1:16" x14ac:dyDescent="0.35">
      <c r="A89">
        <v>86</v>
      </c>
      <c r="B89" t="s">
        <v>4</v>
      </c>
      <c r="C89" t="s">
        <v>197</v>
      </c>
      <c r="D89" t="s">
        <v>198</v>
      </c>
      <c r="E89" s="2">
        <f t="shared" si="28"/>
        <v>0.13422251991975101</v>
      </c>
      <c r="F89" s="2">
        <f t="shared" si="29"/>
        <v>8.3854499999999987</v>
      </c>
      <c r="G89" s="2">
        <f t="shared" si="30"/>
        <v>0.71797343576059802</v>
      </c>
      <c r="H89" s="4">
        <f t="shared" si="31"/>
        <v>27.922722</v>
      </c>
      <c r="I89" s="5">
        <f t="shared" si="20"/>
        <v>1.3409468943973299</v>
      </c>
      <c r="J89" t="str">
        <f t="shared" si="21"/>
        <v>buy</v>
      </c>
      <c r="K89" s="4">
        <f t="shared" si="22"/>
        <v>10</v>
      </c>
      <c r="L89" s="5">
        <f t="shared" si="23"/>
        <v>9.2039504997620106E-2</v>
      </c>
      <c r="M89" t="str">
        <f t="shared" si="24"/>
        <v>09/06/2025</v>
      </c>
      <c r="N89" s="7">
        <f t="shared" si="25"/>
        <v>8.4</v>
      </c>
      <c r="O89" s="7">
        <f t="shared" si="26"/>
        <v>168.08</v>
      </c>
      <c r="P89" s="2">
        <f t="shared" si="27"/>
        <v>4.9976201808662538E-2</v>
      </c>
    </row>
    <row r="90" spans="1:16" x14ac:dyDescent="0.35">
      <c r="A90">
        <v>87</v>
      </c>
      <c r="B90" t="s">
        <v>65</v>
      </c>
      <c r="C90" t="s">
        <v>199</v>
      </c>
      <c r="D90" t="s">
        <v>200</v>
      </c>
      <c r="E90" s="2">
        <f t="shared" si="28"/>
        <v>0.54094780901248596</v>
      </c>
      <c r="F90" s="2">
        <f t="shared" si="29"/>
        <v>1.2319100000000001</v>
      </c>
      <c r="G90" s="2">
        <f t="shared" si="30"/>
        <v>0.121335228911968</v>
      </c>
      <c r="H90" s="4">
        <f t="shared" si="31"/>
        <v>16.737143</v>
      </c>
      <c r="I90" s="5">
        <f t="shared" si="20"/>
        <v>0.74365209258826204</v>
      </c>
      <c r="J90" t="str">
        <f t="shared" si="21"/>
        <v>buy</v>
      </c>
      <c r="K90" s="4">
        <f t="shared" si="22"/>
        <v>3</v>
      </c>
      <c r="L90" s="5">
        <f t="shared" si="23"/>
        <v>0.11582634075155</v>
      </c>
      <c r="M90" t="str">
        <f t="shared" si="24"/>
        <v>10/07/2025</v>
      </c>
      <c r="N90" s="7">
        <f t="shared" si="25"/>
        <v>1.1100000000000001</v>
      </c>
      <c r="O90" s="7">
        <f t="shared" si="26"/>
        <v>27.41</v>
      </c>
      <c r="P90" s="2">
        <f t="shared" si="27"/>
        <v>4.0496169281284203E-2</v>
      </c>
    </row>
    <row r="91" spans="1:16" x14ac:dyDescent="0.35">
      <c r="A91">
        <v>88</v>
      </c>
      <c r="B91" t="s">
        <v>40</v>
      </c>
      <c r="C91" t="s">
        <v>201</v>
      </c>
      <c r="D91" t="s">
        <v>202</v>
      </c>
      <c r="E91" s="2">
        <f t="shared" si="28"/>
        <v>-0.35110943487785601</v>
      </c>
      <c r="F91" s="2">
        <f t="shared" si="29"/>
        <v>1.319</v>
      </c>
      <c r="G91" s="2">
        <f t="shared" si="30"/>
        <v>0.26783035592526899</v>
      </c>
      <c r="H91" s="4">
        <f t="shared" si="31"/>
        <v>11.1864805</v>
      </c>
      <c r="I91" s="5">
        <f t="shared" si="20"/>
        <v>0.64335353120399796</v>
      </c>
      <c r="J91" t="str">
        <f t="shared" si="21"/>
        <v>hold</v>
      </c>
      <c r="K91" s="4">
        <f t="shared" si="22"/>
        <v>1</v>
      </c>
      <c r="L91" s="5">
        <f t="shared" si="23"/>
        <v>-1.4926089460549101E-2</v>
      </c>
      <c r="M91" t="str">
        <f t="shared" si="24"/>
        <v>13/08/2025</v>
      </c>
      <c r="N91" s="7">
        <f t="shared" si="25"/>
        <v>4.5</v>
      </c>
      <c r="O91" s="7">
        <f t="shared" si="26"/>
        <v>104.18</v>
      </c>
      <c r="P91" s="2">
        <f t="shared" si="27"/>
        <v>4.319447110769821E-2</v>
      </c>
    </row>
    <row r="92" spans="1:16" x14ac:dyDescent="0.35">
      <c r="A92">
        <v>89</v>
      </c>
      <c r="B92" t="s">
        <v>22</v>
      </c>
      <c r="C92" t="s">
        <v>203</v>
      </c>
      <c r="D92" t="s">
        <v>204</v>
      </c>
      <c r="E92" s="2">
        <f t="shared" si="28"/>
        <v>-0.196305039378215</v>
      </c>
      <c r="F92" s="2">
        <f t="shared" si="29"/>
        <v>0.69617999999999991</v>
      </c>
      <c r="G92" s="2">
        <f t="shared" si="30"/>
        <v>0.13278209135827301</v>
      </c>
      <c r="H92" s="4">
        <f t="shared" si="31"/>
        <v>28.497395999999998</v>
      </c>
      <c r="I92" s="5">
        <f t="shared" si="20"/>
        <v>-0.39971956837915701</v>
      </c>
      <c r="J92" t="str">
        <f t="shared" si="21"/>
        <v>buy</v>
      </c>
      <c r="K92" s="4">
        <f t="shared" si="22"/>
        <v>8</v>
      </c>
      <c r="L92" s="5">
        <f t="shared" si="23"/>
        <v>0.14405043968806999</v>
      </c>
      <c r="M92" t="str">
        <f t="shared" si="24"/>
        <v>15/09/2025</v>
      </c>
      <c r="N92" s="7">
        <f t="shared" si="25"/>
        <v>1.72</v>
      </c>
      <c r="O92" s="7">
        <f t="shared" si="26"/>
        <v>482.16</v>
      </c>
      <c r="P92" s="2">
        <f t="shared" si="27"/>
        <v>3.567280570764891E-3</v>
      </c>
    </row>
    <row r="93" spans="1:16" x14ac:dyDescent="0.35">
      <c r="A93">
        <v>90</v>
      </c>
      <c r="B93" t="s">
        <v>65</v>
      </c>
      <c r="C93" t="s">
        <v>205</v>
      </c>
      <c r="D93" t="s">
        <v>206</v>
      </c>
      <c r="E93" s="2">
        <f t="shared" si="28"/>
        <v>0.28612174142751801</v>
      </c>
      <c r="F93" s="2">
        <f t="shared" si="29"/>
        <v>1.9421799999999998</v>
      </c>
      <c r="G93" s="2">
        <f t="shared" si="30"/>
        <v>0.19784260157755701</v>
      </c>
      <c r="H93" s="4">
        <f t="shared" si="31"/>
        <v>23.817581000000001</v>
      </c>
      <c r="I93" s="5">
        <f t="shared" si="20"/>
        <v>0.38499305948280199</v>
      </c>
      <c r="J93" t="str">
        <f t="shared" si="21"/>
        <v>buy</v>
      </c>
      <c r="K93" s="4">
        <f t="shared" si="22"/>
        <v>10</v>
      </c>
      <c r="L93" s="5">
        <f t="shared" si="23"/>
        <v>0.13400054336468101</v>
      </c>
      <c r="M93" t="str">
        <f t="shared" si="24"/>
        <v>29/08/2025</v>
      </c>
      <c r="N93" s="7">
        <f t="shared" si="25"/>
        <v>3.52</v>
      </c>
      <c r="O93" s="7">
        <f t="shared" si="26"/>
        <v>239.25</v>
      </c>
      <c r="P93" s="2">
        <f t="shared" si="27"/>
        <v>1.4712643678160919E-2</v>
      </c>
    </row>
    <row r="94" spans="1:16" x14ac:dyDescent="0.35">
      <c r="A94">
        <v>91</v>
      </c>
      <c r="B94" t="s">
        <v>40</v>
      </c>
      <c r="C94" t="s">
        <v>207</v>
      </c>
      <c r="D94" t="s">
        <v>208</v>
      </c>
      <c r="E94" s="2">
        <f t="shared" si="28"/>
        <v>0.55933865325419196</v>
      </c>
      <c r="F94" s="2">
        <f t="shared" si="29"/>
        <v>0.16822999999999999</v>
      </c>
      <c r="G94" s="2">
        <f t="shared" si="30"/>
        <v>8.0630341146297593E-2</v>
      </c>
      <c r="H94" s="4">
        <f t="shared" si="31"/>
        <v>199.92215999999999</v>
      </c>
      <c r="I94" s="5">
        <f t="shared" si="20"/>
        <v>8.1720442112314409</v>
      </c>
      <c r="J94" t="str">
        <f t="shared" si="21"/>
        <v>hold</v>
      </c>
      <c r="K94" s="4">
        <f t="shared" si="22"/>
        <v>10</v>
      </c>
      <c r="L94" s="5">
        <f t="shared" si="23"/>
        <v>-4.6323972602739599E-2</v>
      </c>
      <c r="M94" t="str">
        <f t="shared" si="24"/>
        <v>-</v>
      </c>
      <c r="N94" s="7">
        <f t="shared" si="25"/>
        <v>0</v>
      </c>
      <c r="O94" s="7">
        <f t="shared" si="26"/>
        <v>321.2</v>
      </c>
      <c r="P94" s="2">
        <f t="shared" si="27"/>
        <v>0</v>
      </c>
    </row>
    <row r="95" spans="1:16" x14ac:dyDescent="0.35">
      <c r="A95">
        <v>92</v>
      </c>
      <c r="B95" t="s">
        <v>19</v>
      </c>
      <c r="C95" t="s">
        <v>209</v>
      </c>
      <c r="D95" t="s">
        <v>210</v>
      </c>
      <c r="E95" s="2">
        <f t="shared" si="28"/>
        <v>-2.69262922326821E-2</v>
      </c>
      <c r="F95" s="2">
        <f t="shared" si="29"/>
        <v>0.85611999999999999</v>
      </c>
      <c r="G95" s="2">
        <f t="shared" si="30"/>
        <v>0.29669289853872</v>
      </c>
      <c r="H95" s="4">
        <f t="shared" si="31"/>
        <v>37.016452999999998</v>
      </c>
      <c r="I95" s="5">
        <f t="shared" si="20"/>
        <v>9.6104435879996994E-2</v>
      </c>
      <c r="J95" t="str">
        <f t="shared" si="21"/>
        <v>buy</v>
      </c>
      <c r="K95" s="4">
        <f t="shared" si="22"/>
        <v>9</v>
      </c>
      <c r="L95" s="5">
        <f t="shared" si="23"/>
        <v>7.4959504650433703E-2</v>
      </c>
      <c r="M95" t="str">
        <f t="shared" si="24"/>
        <v>31/07/2025</v>
      </c>
      <c r="N95" s="7">
        <f t="shared" si="25"/>
        <v>5.44</v>
      </c>
      <c r="O95" s="7">
        <f t="shared" si="26"/>
        <v>191.38</v>
      </c>
      <c r="P95" s="2">
        <f t="shared" si="27"/>
        <v>2.8425122792350301E-2</v>
      </c>
    </row>
    <row r="96" spans="1:16" x14ac:dyDescent="0.35">
      <c r="A96">
        <v>93</v>
      </c>
      <c r="B96" t="s">
        <v>22</v>
      </c>
      <c r="C96" t="s">
        <v>211</v>
      </c>
      <c r="D96" t="s">
        <v>212</v>
      </c>
      <c r="E96" s="2">
        <f t="shared" si="28"/>
        <v>-0.46506090637588698</v>
      </c>
      <c r="F96" s="2">
        <f t="shared" si="29"/>
        <v>0.75576999999999994</v>
      </c>
      <c r="G96" s="2">
        <f t="shared" si="30"/>
        <v>0.22983445599948099</v>
      </c>
      <c r="H96" s="4">
        <f t="shared" si="31"/>
        <v>13.420095</v>
      </c>
      <c r="I96" s="5">
        <f t="shared" si="20"/>
        <v>-0.28510952498154002</v>
      </c>
      <c r="J96" t="str">
        <f t="shared" si="21"/>
        <v>buy</v>
      </c>
      <c r="K96" s="4">
        <f t="shared" si="22"/>
        <v>8</v>
      </c>
      <c r="L96" s="5">
        <f t="shared" si="23"/>
        <v>0.39250645420768299</v>
      </c>
      <c r="M96" t="str">
        <f t="shared" si="24"/>
        <v>16/06/2025</v>
      </c>
      <c r="N96" s="7">
        <f t="shared" si="25"/>
        <v>8.84</v>
      </c>
      <c r="O96" s="7">
        <f t="shared" si="26"/>
        <v>261.07</v>
      </c>
      <c r="P96" s="2">
        <f t="shared" si="27"/>
        <v>3.3860650400275791E-2</v>
      </c>
    </row>
    <row r="97" spans="1:16" x14ac:dyDescent="0.35">
      <c r="A97">
        <v>94</v>
      </c>
      <c r="B97" t="s">
        <v>47</v>
      </c>
      <c r="C97" t="s">
        <v>213</v>
      </c>
      <c r="D97" t="s">
        <v>214</v>
      </c>
      <c r="E97" s="2">
        <f t="shared" si="28"/>
        <v>-0.106225475753275</v>
      </c>
      <c r="F97" s="2">
        <f t="shared" si="29"/>
        <v>2.0885699999999998</v>
      </c>
      <c r="G97" s="2">
        <f t="shared" si="30"/>
        <v>0.41059799076376502</v>
      </c>
      <c r="H97" s="4">
        <f t="shared" si="31"/>
        <v>19.423978999999999</v>
      </c>
      <c r="I97" s="5">
        <f t="shared" si="20"/>
        <v>0.495029731345978</v>
      </c>
      <c r="J97" t="str">
        <f t="shared" si="21"/>
        <v>buy</v>
      </c>
      <c r="K97" s="4">
        <f t="shared" si="22"/>
        <v>1</v>
      </c>
      <c r="L97" s="5">
        <f t="shared" si="23"/>
        <v>0.14701103811949701</v>
      </c>
      <c r="M97" t="str">
        <f t="shared" si="24"/>
        <v>29/08/2025</v>
      </c>
      <c r="N97" s="7">
        <f t="shared" si="25"/>
        <v>5.52</v>
      </c>
      <c r="O97" s="7">
        <f t="shared" si="26"/>
        <v>223.77</v>
      </c>
      <c r="P97" s="2">
        <f t="shared" si="27"/>
        <v>2.4668186083925455E-2</v>
      </c>
    </row>
    <row r="98" spans="1:16" x14ac:dyDescent="0.35">
      <c r="A98">
        <v>95</v>
      </c>
      <c r="B98" t="s">
        <v>47</v>
      </c>
      <c r="C98" t="s">
        <v>215</v>
      </c>
      <c r="D98" t="s">
        <v>215</v>
      </c>
      <c r="E98" s="2">
        <f t="shared" si="28"/>
        <v>-0.27667248542244799</v>
      </c>
      <c r="F98" s="2">
        <f t="shared" si="29"/>
        <v>1.8323500000000001</v>
      </c>
      <c r="G98" s="2">
        <f t="shared" si="30"/>
        <v>0.342744339753559</v>
      </c>
      <c r="H98" s="4">
        <f t="shared" si="31"/>
        <v>13.011906</v>
      </c>
      <c r="I98" s="5">
        <f t="shared" si="20"/>
        <v>0.430844898342783</v>
      </c>
      <c r="J98" t="str">
        <f t="shared" si="21"/>
        <v>buy</v>
      </c>
      <c r="K98" s="4">
        <f t="shared" si="22"/>
        <v>10</v>
      </c>
      <c r="L98" s="5">
        <f t="shared" si="23"/>
        <v>0.234834984588287</v>
      </c>
      <c r="M98" t="str">
        <f t="shared" si="24"/>
        <v>19/05/2025</v>
      </c>
      <c r="N98" s="7">
        <f t="shared" si="25"/>
        <v>6.56</v>
      </c>
      <c r="O98" s="7">
        <f t="shared" si="26"/>
        <v>90.84</v>
      </c>
      <c r="P98" s="2">
        <f t="shared" si="27"/>
        <v>7.2214883311316591E-2</v>
      </c>
    </row>
    <row r="99" spans="1:16" x14ac:dyDescent="0.35">
      <c r="A99">
        <v>96</v>
      </c>
      <c r="B99" t="s">
        <v>31</v>
      </c>
      <c r="C99" t="s">
        <v>216</v>
      </c>
      <c r="D99" t="s">
        <v>217</v>
      </c>
      <c r="E99" s="2">
        <f t="shared" si="28"/>
        <v>8.0772165173808794E-2</v>
      </c>
      <c r="F99" s="2" t="str">
        <f t="shared" si="29"/>
        <v>-</v>
      </c>
      <c r="G99" s="2">
        <f t="shared" si="30"/>
        <v>0.111270445013486</v>
      </c>
      <c r="H99" s="4">
        <f t="shared" si="31"/>
        <v>11.681819000000001</v>
      </c>
      <c r="I99" s="5">
        <f t="shared" si="20"/>
        <v>0.70438831663609403</v>
      </c>
      <c r="J99" t="str">
        <f t="shared" si="21"/>
        <v>buy</v>
      </c>
      <c r="K99" s="4">
        <f t="shared" si="22"/>
        <v>4</v>
      </c>
      <c r="L99" s="5">
        <f t="shared" si="23"/>
        <v>0.16067368192666501</v>
      </c>
      <c r="M99" t="str">
        <f t="shared" si="24"/>
        <v>30/06/2025</v>
      </c>
      <c r="N99" s="7">
        <f t="shared" si="25"/>
        <v>2</v>
      </c>
      <c r="O99" s="7">
        <f t="shared" si="26"/>
        <v>46.09</v>
      </c>
      <c r="P99" s="2">
        <f t="shared" si="27"/>
        <v>4.339336081579518E-2</v>
      </c>
    </row>
    <row r="100" spans="1:16" x14ac:dyDescent="0.35">
      <c r="A100">
        <v>97</v>
      </c>
      <c r="B100" t="s">
        <v>31</v>
      </c>
      <c r="C100" t="s">
        <v>218</v>
      </c>
      <c r="D100" t="s">
        <v>219</v>
      </c>
      <c r="E100" s="2">
        <f t="shared" si="28"/>
        <v>0.28179767724407701</v>
      </c>
      <c r="F100" s="2">
        <f t="shared" si="29"/>
        <v>0.65016999999999991</v>
      </c>
      <c r="G100" s="2">
        <f t="shared" si="30"/>
        <v>0.51255845506809405</v>
      </c>
      <c r="H100" s="4">
        <f t="shared" si="31"/>
        <v>34.353515999999999</v>
      </c>
      <c r="I100" s="5">
        <f t="shared" si="20"/>
        <v>-2.12438297683105</v>
      </c>
      <c r="J100" t="str">
        <f t="shared" si="21"/>
        <v>buy</v>
      </c>
      <c r="K100" s="4">
        <f t="shared" si="22"/>
        <v>2</v>
      </c>
      <c r="L100" s="5">
        <f t="shared" si="23"/>
        <v>9.8559395371345601E-2</v>
      </c>
      <c r="M100" t="str">
        <f t="shared" si="24"/>
        <v>13/05/2025</v>
      </c>
      <c r="N100" s="7">
        <f t="shared" si="25"/>
        <v>2.36</v>
      </c>
      <c r="O100" s="7">
        <f t="shared" si="26"/>
        <v>351.29</v>
      </c>
      <c r="P100" s="2">
        <f t="shared" ref="P100:P131" si="32">N100/O100</f>
        <v>6.7180961598679147E-3</v>
      </c>
    </row>
    <row r="101" spans="1:16" x14ac:dyDescent="0.35">
      <c r="A101">
        <v>98</v>
      </c>
      <c r="B101" t="s">
        <v>65</v>
      </c>
      <c r="C101" t="s">
        <v>220</v>
      </c>
      <c r="D101" t="s">
        <v>221</v>
      </c>
      <c r="E101" s="2">
        <f t="shared" si="28"/>
        <v>0.12977017917393199</v>
      </c>
      <c r="F101" s="2">
        <f t="shared" si="29"/>
        <v>1.6743899999999998</v>
      </c>
      <c r="G101" s="2">
        <f t="shared" si="30"/>
        <v>0.183328803248788</v>
      </c>
      <c r="H101" s="4">
        <f t="shared" si="31"/>
        <v>10.286046000000001</v>
      </c>
      <c r="I101" s="5">
        <f t="shared" si="20"/>
        <v>0.60428055220976495</v>
      </c>
      <c r="J101" t="str">
        <f t="shared" si="21"/>
        <v>buy</v>
      </c>
      <c r="K101" s="4">
        <f t="shared" si="22"/>
        <v>3</v>
      </c>
      <c r="L101" s="5">
        <f t="shared" si="23"/>
        <v>0.1411702177476</v>
      </c>
      <c r="M101" t="str">
        <f t="shared" si="24"/>
        <v>10/07/2025</v>
      </c>
      <c r="N101" s="7">
        <f t="shared" si="25"/>
        <v>2.71</v>
      </c>
      <c r="O101" s="7">
        <f t="shared" si="26"/>
        <v>42.71</v>
      </c>
      <c r="P101" s="2">
        <f t="shared" si="32"/>
        <v>6.3451182392882222E-2</v>
      </c>
    </row>
    <row r="102" spans="1:16" x14ac:dyDescent="0.35">
      <c r="A102">
        <v>99</v>
      </c>
      <c r="B102" t="s">
        <v>31</v>
      </c>
      <c r="C102" t="s">
        <v>222</v>
      </c>
      <c r="D102" t="s">
        <v>223</v>
      </c>
      <c r="E102" s="2">
        <f t="shared" si="28"/>
        <v>0.43676951324025198</v>
      </c>
      <c r="F102" s="2" t="str">
        <f t="shared" si="29"/>
        <v>-</v>
      </c>
      <c r="G102" s="2">
        <f t="shared" si="30"/>
        <v>0.10877066118803</v>
      </c>
      <c r="H102" s="4">
        <f t="shared" si="31"/>
        <v>14.120274999999999</v>
      </c>
      <c r="I102" s="5">
        <f t="shared" si="20"/>
        <v>0.71077330085875601</v>
      </c>
      <c r="J102" t="str">
        <f t="shared" si="21"/>
        <v>buy</v>
      </c>
      <c r="K102" s="4">
        <f t="shared" si="22"/>
        <v>2</v>
      </c>
      <c r="L102" s="5">
        <f t="shared" si="23"/>
        <v>5.0001330913490599E-2</v>
      </c>
      <c r="M102" t="str">
        <f t="shared" si="24"/>
        <v>09/05/2025</v>
      </c>
      <c r="N102" s="7">
        <f t="shared" si="25"/>
        <v>1.6</v>
      </c>
      <c r="O102" s="7">
        <f t="shared" si="26"/>
        <v>82.65</v>
      </c>
      <c r="P102" s="2">
        <f t="shared" si="32"/>
        <v>1.9358741681790682E-2</v>
      </c>
    </row>
    <row r="103" spans="1:16" x14ac:dyDescent="0.35">
      <c r="A103">
        <v>100</v>
      </c>
      <c r="B103" t="s">
        <v>68</v>
      </c>
      <c r="C103" t="s">
        <v>224</v>
      </c>
      <c r="D103" t="s">
        <v>225</v>
      </c>
      <c r="E103" s="2">
        <f t="shared" si="28"/>
        <v>0.26797367605717798</v>
      </c>
      <c r="F103" s="2">
        <f t="shared" si="29"/>
        <v>0.67123999999999995</v>
      </c>
      <c r="G103" s="2">
        <f t="shared" si="30"/>
        <v>0.23451594827112601</v>
      </c>
      <c r="H103" s="4">
        <f t="shared" si="31"/>
        <v>36.596226000000001</v>
      </c>
      <c r="I103" s="5">
        <f t="shared" si="20"/>
        <v>4.0672531037494499</v>
      </c>
      <c r="J103" t="str">
        <f t="shared" si="21"/>
        <v>strong_buy</v>
      </c>
      <c r="K103" s="4">
        <f t="shared" si="22"/>
        <v>2</v>
      </c>
      <c r="L103" s="5">
        <f t="shared" si="23"/>
        <v>0.11400935624936399</v>
      </c>
      <c r="M103" t="str">
        <f t="shared" si="24"/>
        <v>15/08/2025</v>
      </c>
      <c r="N103" s="7">
        <f t="shared" si="25"/>
        <v>0.94</v>
      </c>
      <c r="O103" s="7">
        <f t="shared" si="26"/>
        <v>98.33</v>
      </c>
      <c r="P103" s="2">
        <f t="shared" si="32"/>
        <v>9.5596460896979554E-3</v>
      </c>
    </row>
    <row r="104" spans="1:16" x14ac:dyDescent="0.35">
      <c r="A104">
        <v>101</v>
      </c>
      <c r="B104" t="s">
        <v>75</v>
      </c>
      <c r="C104" t="s">
        <v>226</v>
      </c>
      <c r="D104" t="s">
        <v>227</v>
      </c>
      <c r="E104" s="2">
        <f t="shared" si="28"/>
        <v>4.0902930754642399E-3</v>
      </c>
      <c r="F104" s="2">
        <f t="shared" si="29"/>
        <v>0.14441999999999999</v>
      </c>
      <c r="G104" s="2">
        <f t="shared" si="30"/>
        <v>0.117612483889194</v>
      </c>
      <c r="H104" s="4">
        <f t="shared" si="31"/>
        <v>16.234375</v>
      </c>
      <c r="I104" s="5">
        <f t="shared" si="20"/>
        <v>1.7374789301067499</v>
      </c>
      <c r="J104" t="str">
        <f t="shared" si="21"/>
        <v>buy</v>
      </c>
      <c r="K104" s="4">
        <f t="shared" si="22"/>
        <v>7</v>
      </c>
      <c r="L104" s="5">
        <f t="shared" si="23"/>
        <v>9.7035170092133305E-2</v>
      </c>
      <c r="M104" t="str">
        <f t="shared" si="24"/>
        <v>15/05/2025</v>
      </c>
      <c r="N104" s="7">
        <f t="shared" si="25"/>
        <v>3.96</v>
      </c>
      <c r="O104" s="7">
        <f t="shared" si="26"/>
        <v>112.88</v>
      </c>
      <c r="P104" s="2">
        <f t="shared" si="32"/>
        <v>3.5081502480510278E-2</v>
      </c>
    </row>
  </sheetData>
  <autoFilter ref="A3:P104" xr:uid="{475BC63A-16B2-4BEC-B8C9-F9E5950C9E59}">
    <sortState xmlns:xlrd2="http://schemas.microsoft.com/office/spreadsheetml/2017/richdata2" ref="A4:P104">
      <sortCondition ref="A3:A104"/>
    </sortState>
  </autoFilter>
  <mergeCells count="3">
    <mergeCell ref="E2:G2"/>
    <mergeCell ref="H2:I2"/>
    <mergeCell ref="J2:N2"/>
  </mergeCells>
  <conditionalFormatting sqref="E4:E104">
    <cfRule type="iconSet" priority="12">
      <iconSet>
        <cfvo type="percent" val="0"/>
        <cfvo type="num" val="0.01"/>
        <cfvo type="num" val="0.11"/>
      </iconSet>
    </cfRule>
  </conditionalFormatting>
  <conditionalFormatting sqref="F4:F104">
    <cfRule type="iconSet" priority="5">
      <iconSet reverse="1">
        <cfvo type="percent" val="0"/>
        <cfvo type="num" val="0.5"/>
        <cfvo type="num" val="1.5"/>
      </iconSet>
    </cfRule>
  </conditionalFormatting>
  <conditionalFormatting sqref="G4:G104">
    <cfRule type="iconSet" priority="1">
      <iconSet iconSet="4Arrows">
        <cfvo type="percent" val="0"/>
        <cfvo type="num" val="0"/>
        <cfvo type="num" val="0.05"/>
        <cfvo type="num" val="0.15"/>
      </iconSet>
    </cfRule>
  </conditionalFormatting>
  <conditionalFormatting sqref="H4:H104">
    <cfRule type="iconSet" priority="11">
      <iconSet reverse="1">
        <cfvo type="percent" val="0"/>
        <cfvo type="num" val="20"/>
        <cfvo type="num" val="30" gte="0"/>
      </iconSet>
    </cfRule>
  </conditionalFormatting>
  <conditionalFormatting sqref="I4:I104">
    <cfRule type="iconSet" priority="10">
      <iconSet>
        <cfvo type="percent" val="0"/>
        <cfvo type="num" val="0"/>
        <cfvo type="num" val="0.2"/>
      </iconSet>
    </cfRule>
  </conditionalFormatting>
  <conditionalFormatting sqref="J4:J104">
    <cfRule type="cellIs" dxfId="1" priority="6" operator="equal">
      <formula>"strong_buy"</formula>
    </cfRule>
    <cfRule type="cellIs" dxfId="0" priority="7" operator="equal">
      <formula>"buy"</formula>
    </cfRule>
  </conditionalFormatting>
  <conditionalFormatting sqref="K4:L104">
    <cfRule type="iconSet" priority="9">
      <iconSet iconSet="3Flags" reverse="1">
        <cfvo type="percent" val="0"/>
        <cfvo type="num" val="3"/>
        <cfvo type="num" val="6"/>
      </iconSet>
    </cfRule>
  </conditionalFormatting>
  <conditionalFormatting sqref="N4:O104">
    <cfRule type="iconSet" priority="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P4:P10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{05F93F74-D7B9-41C2-AE32-3BB9652D4A8A}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FA0AFCCD-4FFE-41C8-877C-F7E86EAF7E1F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L4:L104</xm:sqref>
        </x14:conditionalFormatting>
        <x14:conditionalFormatting xmlns:xm="http://schemas.microsoft.com/office/excel/2006/main">
          <x14:cfRule type="dataBar" id="{05F93F74-D7B9-41C2-AE32-3BB9652D4A8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P4:P104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A0AFC3-8A73-4B53-A1AD-25F0A36D0F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S&amp;P100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Martín Rodríguez</dc:creator>
  <cp:lastModifiedBy>Álvaro Martín Rodríguez</cp:lastModifiedBy>
  <dcterms:created xsi:type="dcterms:W3CDTF">2025-02-16T09:27:57Z</dcterms:created>
  <dcterms:modified xsi:type="dcterms:W3CDTF">2025-08-30T07:49:16Z</dcterms:modified>
</cp:coreProperties>
</file>